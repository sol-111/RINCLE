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080" yWindow="600" windowWidth="30080" windowHeight="33240" tabRatio="600" firstSheet="0" activeTab="0" autoFilterDateGrouping="1"/>
  </bookViews>
  <sheets>
    <sheet name="はじめに" sheetId="1" state="visible" r:id="rId1"/>
    <sheet name="実態サマリー" sheetId="2" state="visible" r:id="rId2"/>
    <sheet name="収益の論点" sheetId="3" state="visible" r:id="rId3"/>
    <sheet name="コスト棚卸し" sheetId="4" state="visible" r:id="rId4"/>
    <sheet name="試算モデル" sheetId="5" state="visible" r:id="rId5"/>
    <sheet name="月別実績" sheetId="6" state="visible" r:id="rId6"/>
    <sheet name="KPIツリー" sheetId="7" state="visible" r:id="rId7"/>
    <sheet name="KPI計画" sheetId="8" state="visible" r:id="rId8"/>
    <sheet name="KPI進捗" sheetId="9" state="visible" r:id="rId9"/>
    <sheet name="需給分析" sheetId="10" state="visible" r:id="rId10"/>
    <sheet name="確認リスト" sheetId="11" state="visible" r:id="rId11"/>
    <sheet name="出典と経緯" sheetId="12" state="visible" r:id="rId12"/>
  </sheets>
  <definedNames/>
  <calcPr calcId="191029" fullCalcOnLoad="1"/>
</workbook>
</file>

<file path=xl/styles.xml><?xml version="1.0" encoding="utf-8"?>
<styleSheet xmlns="http://schemas.openxmlformats.org/spreadsheetml/2006/main">
  <numFmts count="7">
    <numFmt numFmtId="164" formatCode="0.0%"/>
    <numFmt numFmtId="165" formatCode="#,##0&quot;円&quot;"/>
    <numFmt numFmtId="166" formatCode="0&quot;件&quot;"/>
    <numFmt numFmtId="167" formatCode="0.0&quot;件&quot;"/>
    <numFmt numFmtId="168" formatCode="0.00&quot;倍&quot;"/>
    <numFmt numFmtId="169" formatCode="0&quot;店&quot;"/>
    <numFmt numFmtId="170" formatCode="0&quot;人&quot;"/>
  </numFmts>
  <fonts count="24">
    <font>
      <name val="ＭＳ Ｐゴシック"/>
      <family val="2"/>
      <color theme="1"/>
      <sz val="11"/>
      <scheme val="minor"/>
    </font>
    <font>
      <name val="ＭＳ Ｐゴシック"/>
      <charset val="128"/>
      <b val="1"/>
      <sz val="14"/>
    </font>
    <font>
      <name val="ＭＳ Ｐゴシック"/>
      <charset val="128"/>
      <color rgb="FF808080"/>
      <sz val="10"/>
    </font>
    <font>
      <name val="ＭＳ Ｐゴシック"/>
      <charset val="128"/>
      <b val="1"/>
      <sz val="11"/>
    </font>
    <font>
      <name val="ＭＳ Ｐゴシック"/>
      <charset val="128"/>
      <color rgb="FF808080"/>
      <sz val="9"/>
    </font>
    <font>
      <name val="ＭＳ Ｐゴシック"/>
      <charset val="128"/>
      <b val="1"/>
      <color rgb="FFFFFFFF"/>
      <sz val="11"/>
    </font>
    <font>
      <name val="ＭＳ Ｐゴシック"/>
      <charset val="128"/>
      <sz val="10"/>
    </font>
    <font>
      <name val="ＭＳ Ｐゴシック"/>
      <charset val="128"/>
      <b val="1"/>
      <sz val="13"/>
    </font>
    <font>
      <name val="ＭＳ Ｐゴシック"/>
      <charset val="128"/>
      <color rgb="FF606060"/>
      <sz val="9"/>
    </font>
    <font>
      <name val="ＭＳ Ｐゴシック"/>
      <charset val="128"/>
      <b val="1"/>
      <sz val="12"/>
    </font>
    <font>
      <name val="ＭＳ Ｐゴシック"/>
      <charset val="128"/>
      <b val="1"/>
      <color rgb="FFFFFFFF"/>
      <sz val="11"/>
    </font>
    <font>
      <name val="ＭＳ Ｐゴシック"/>
      <charset val="128"/>
      <family val="3"/>
      <sz val="6"/>
      <scheme val="minor"/>
    </font>
    <font>
      <b val="1"/>
      <sz val="13"/>
    </font>
    <font>
      <color rgb="00808080"/>
      <sz val="9"/>
    </font>
    <font>
      <b val="1"/>
      <sz val="11"/>
    </font>
    <font>
      <b val="1"/>
      <color rgb="00FFFFFF"/>
    </font>
    <font>
      <b val="1"/>
      <sz val="14"/>
    </font>
    <font>
      <b val="1"/>
      <sz val="12"/>
    </font>
    <font>
      <b val="1"/>
    </font>
    <font>
      <color rgb="00808080"/>
      <sz val="8"/>
    </font>
    <font>
      <sz val="9"/>
    </font>
    <font>
      <color rgb="00606060"/>
      <sz val="9"/>
    </font>
    <font>
      <sz val="10"/>
    </font>
    <font>
      <b val="1"/>
      <sz val="10"/>
    </font>
  </fonts>
  <fills count="11">
    <fill>
      <patternFill/>
    </fill>
    <fill>
      <patternFill patternType="gray125"/>
    </fill>
    <fill>
      <patternFill patternType="solid">
        <fgColor rgb="FFFFF2CC"/>
      </patternFill>
    </fill>
    <fill>
      <patternFill patternType="solid">
        <fgColor rgb="FFDEEBF7"/>
      </patternFill>
    </fill>
    <fill>
      <patternFill patternType="solid">
        <fgColor rgb="FF1F3864"/>
      </patternFill>
    </fill>
    <fill>
      <patternFill patternType="solid">
        <fgColor rgb="FFFCE4EC"/>
      </patternFill>
    </fill>
    <fill>
      <patternFill patternType="solid">
        <fgColor rgb="001F3864"/>
      </patternFill>
    </fill>
    <fill>
      <patternFill patternType="solid">
        <fgColor rgb="00E2EFDA"/>
      </patternFill>
    </fill>
    <fill>
      <patternFill patternType="solid">
        <fgColor rgb="00FCE4EC"/>
      </patternFill>
    </fill>
    <fill>
      <patternFill patternType="solid">
        <fgColor rgb="00FFF2CC"/>
      </patternFill>
    </fill>
    <fill>
      <patternFill patternType="solid">
        <fgColor rgb="00DEEBF7"/>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164" fontId="0" fillId="2" borderId="1" pivotButton="0" quotePrefix="0" xfId="0"/>
    <xf numFmtId="0" fontId="4" fillId="0" borderId="0" pivotButton="0" quotePrefix="0" xfId="0"/>
    <xf numFmtId="165"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0" fontId="5" fillId="4"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3" fillId="0" borderId="1" pivotButton="0" quotePrefix="0" xfId="0"/>
    <xf numFmtId="0" fontId="7" fillId="0" borderId="0" pivotButton="0" quotePrefix="0" xfId="0"/>
    <xf numFmtId="0" fontId="8" fillId="0" borderId="1" pivotButton="0" quotePrefix="0" xfId="0"/>
    <xf numFmtId="0" fontId="0" fillId="5" borderId="1" pivotButton="0" quotePrefix="0" xfId="0"/>
    <xf numFmtId="165" fontId="3" fillId="0" borderId="1" pivotButton="0" quotePrefix="0" xfId="0"/>
    <xf numFmtId="0" fontId="0" fillId="0" borderId="0" applyAlignment="1" pivotButton="0" quotePrefix="0" xfId="0">
      <alignment vertical="top" wrapText="1"/>
    </xf>
    <xf numFmtId="0" fontId="9" fillId="0" borderId="0" pivotButton="0" quotePrefix="0" xfId="0"/>
    <xf numFmtId="0" fontId="3" fillId="2" borderId="1" pivotButton="0" quotePrefix="0" xfId="0"/>
    <xf numFmtId="0" fontId="0" fillId="0" borderId="1" applyAlignment="1" pivotButton="0" quotePrefix="0" xfId="0">
      <alignment vertical="top" wrapText="1"/>
    </xf>
    <xf numFmtId="0" fontId="3" fillId="3" borderId="1" pivotButton="0" quotePrefix="0" xfId="0"/>
    <xf numFmtId="0" fontId="3" fillId="5" borderId="1" pivotButton="0" quotePrefix="0" xfId="0"/>
    <xf numFmtId="0" fontId="10" fillId="4" borderId="1" pivotButton="0" quotePrefix="0" xfId="0"/>
    <xf numFmtId="0" fontId="0" fillId="0" borderId="0" applyAlignment="1" pivotButton="0" quotePrefix="0" xfId="0">
      <alignment vertical="top"/>
    </xf>
    <xf numFmtId="0" fontId="6" fillId="5" borderId="0" pivotButton="0" quotePrefix="0" xfId="0"/>
    <xf numFmtId="0" fontId="0" fillId="0" borderId="0" pivotButton="0" quotePrefix="0" xfId="0"/>
    <xf numFmtId="0" fontId="16" fillId="0" borderId="0" pivotButton="0" quotePrefix="0" xfId="0"/>
    <xf numFmtId="0" fontId="17" fillId="0" borderId="0" pivotButton="0" quotePrefix="0" xfId="0"/>
    <xf numFmtId="0" fontId="18" fillId="9" borderId="2" pivotButton="0" quotePrefix="0" xfId="0"/>
    <xf numFmtId="0" fontId="0" fillId="0" borderId="2" applyAlignment="1" pivotButton="0" quotePrefix="0" xfId="0">
      <alignment vertical="top" wrapText="1"/>
    </xf>
    <xf numFmtId="0" fontId="18" fillId="10" borderId="2" pivotButton="0" quotePrefix="0" xfId="0"/>
    <xf numFmtId="0" fontId="18" fillId="8" borderId="2" pivotButton="0" quotePrefix="0" xfId="0"/>
    <xf numFmtId="0" fontId="15" fillId="6" borderId="2" pivotButton="0" quotePrefix="0" xfId="0"/>
    <xf numFmtId="0" fontId="18" fillId="0" borderId="2" pivotButton="0" quotePrefix="0" xfId="0"/>
    <xf numFmtId="0" fontId="13" fillId="0" borderId="0" pivotButton="0" quotePrefix="0" xfId="0"/>
    <xf numFmtId="0" fontId="12" fillId="0" borderId="0" pivotButton="0" quotePrefix="0" xfId="0"/>
    <xf numFmtId="0" fontId="14" fillId="0" borderId="0" pivotButton="0" quotePrefix="0" xfId="0"/>
    <xf numFmtId="0" fontId="0" fillId="7" borderId="2" applyAlignment="1" pivotButton="0" quotePrefix="0" xfId="0">
      <alignment vertical="top" wrapText="1"/>
    </xf>
    <xf numFmtId="0" fontId="0" fillId="8" borderId="2" applyAlignment="1" pivotButton="0" quotePrefix="0" xfId="0">
      <alignment vertical="top" wrapText="1"/>
    </xf>
    <xf numFmtId="165" fontId="0" fillId="2" borderId="1" pivotButton="0" quotePrefix="0" xfId="0"/>
    <xf numFmtId="165" fontId="3" fillId="0" borderId="1" pivotButton="0" quotePrefix="0" xfId="0"/>
    <xf numFmtId="164"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0" fillId="9" borderId="2" applyAlignment="1" pivotButton="0" quotePrefix="0" xfId="0">
      <alignment vertical="top" wrapText="1"/>
    </xf>
    <xf numFmtId="0" fontId="19" fillId="0" borderId="0" pivotButton="0" quotePrefix="0" xfId="0"/>
    <xf numFmtId="0" fontId="15" fillId="6" borderId="2" applyAlignment="1" pivotButton="0" quotePrefix="0" xfId="0">
      <alignment horizontal="center" vertical="center"/>
    </xf>
    <xf numFmtId="0" fontId="20" fillId="0" borderId="2" applyAlignment="1" pivotButton="0" quotePrefix="0" xfId="0">
      <alignment vertical="top" wrapText="1"/>
    </xf>
    <xf numFmtId="0" fontId="0" fillId="0" borderId="2" pivotButton="0" quotePrefix="0" xfId="0"/>
    <xf numFmtId="165" fontId="0" fillId="10" borderId="2" pivotButton="0" quotePrefix="0" xfId="0"/>
    <xf numFmtId="165" fontId="0" fillId="9" borderId="2" pivotButton="0" quotePrefix="0" xfId="0"/>
    <xf numFmtId="165" fontId="0" fillId="0" borderId="2" pivotButton="0" quotePrefix="0" xfId="0"/>
    <xf numFmtId="9" fontId="0" fillId="0" borderId="2" pivotButton="0" quotePrefix="0" xfId="0"/>
    <xf numFmtId="166" fontId="0" fillId="10" borderId="2" pivotButton="0" quotePrefix="0" xfId="0"/>
    <xf numFmtId="166" fontId="0" fillId="9" borderId="2" pivotButton="0" quotePrefix="0" xfId="0"/>
    <xf numFmtId="166" fontId="0" fillId="0" borderId="2" pivotButton="0" quotePrefix="0" xfId="0"/>
    <xf numFmtId="164" fontId="0" fillId="10" borderId="2" pivotButton="0" quotePrefix="0" xfId="0"/>
    <xf numFmtId="164" fontId="0" fillId="9" borderId="2" pivotButton="0" quotePrefix="0" xfId="0"/>
    <xf numFmtId="164" fontId="0" fillId="0" borderId="2" pivotButton="0" quotePrefix="0" xfId="0"/>
    <xf numFmtId="3" fontId="0" fillId="10" borderId="2" pivotButton="0" quotePrefix="0" xfId="0"/>
    <xf numFmtId="3" fontId="0" fillId="9" borderId="2" pivotButton="0" quotePrefix="0" xfId="0"/>
    <xf numFmtId="3" fontId="0" fillId="0" borderId="2" pivotButton="0" quotePrefix="0" xfId="0"/>
    <xf numFmtId="169" fontId="0" fillId="10" borderId="2" pivotButton="0" quotePrefix="0" xfId="0"/>
    <xf numFmtId="169" fontId="0" fillId="9" borderId="2" pivotButton="0" quotePrefix="0" xfId="0"/>
    <xf numFmtId="169" fontId="0" fillId="0" borderId="2" pivotButton="0" quotePrefix="0" xfId="0"/>
    <xf numFmtId="170" fontId="0" fillId="10" borderId="2" pivotButton="0" quotePrefix="0" xfId="0"/>
    <xf numFmtId="170" fontId="0" fillId="9" borderId="2" pivotButton="0" quotePrefix="0" xfId="0"/>
    <xf numFmtId="170" fontId="0" fillId="0" borderId="2" pivotButton="0" quotePrefix="0" xfId="0"/>
    <xf numFmtId="0" fontId="0" fillId="0" borderId="8" pivotButton="0" quotePrefix="0" xfId="0"/>
    <xf numFmtId="0" fontId="0" fillId="0" borderId="9" pivotButton="0" quotePrefix="0" xfId="0"/>
    <xf numFmtId="0" fontId="0" fillId="0" borderId="5" pivotButton="0" quotePrefix="0" xfId="0"/>
    <xf numFmtId="0" fontId="18" fillId="0" borderId="0" pivotButton="0" quotePrefix="0" xfId="0"/>
    <xf numFmtId="9" fontId="0" fillId="9" borderId="2" pivotButton="0" quotePrefix="0" xfId="0"/>
    <xf numFmtId="0" fontId="21" fillId="0" borderId="0" pivotButton="0" quotePrefix="0" xfId="0"/>
    <xf numFmtId="165" fontId="18" fillId="10" borderId="2" pivotButton="0" quotePrefix="0" xfId="0"/>
    <xf numFmtId="0" fontId="0" fillId="0" borderId="2" applyAlignment="1" pivotButton="0" quotePrefix="0" xfId="0">
      <alignment horizontal="center"/>
    </xf>
    <xf numFmtId="0" fontId="22" fillId="8" borderId="0" applyAlignment="1" pivotButton="0" quotePrefix="0" xfId="0">
      <alignment vertical="top" wrapText="1"/>
    </xf>
    <xf numFmtId="0" fontId="18" fillId="0" borderId="2" applyAlignment="1" pivotButton="0" quotePrefix="0" xfId="0">
      <alignment vertical="top" wrapText="1"/>
    </xf>
    <xf numFmtId="0" fontId="23" fillId="9" borderId="0" applyAlignment="1" pivotButton="0" quotePrefix="0" xfId="0">
      <alignment vertical="top" wrapText="1"/>
    </xf>
    <xf numFmtId="0" fontId="21" fillId="0" borderId="0" applyAlignment="1" pivotButton="0" quotePrefix="0" xfId="0">
      <alignment vertical="top" wrapText="1"/>
    </xf>
    <xf numFmtId="0" fontId="18" fillId="8" borderId="0" pivotButton="0" quotePrefix="0" xfId="0"/>
    <xf numFmtId="0" fontId="0" fillId="8" borderId="0" pivotButton="0" quotePrefix="0" xfId="0"/>
  </cellXfs>
  <cellStyles count="1">
    <cellStyle name="標準" xfId="0" builtinId="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style="31" min="1" max="1"/>
    <col width="90" customWidth="1" style="31" min="2" max="2"/>
  </cols>
  <sheetData>
    <row r="1">
      <c r="A1" s="32" t="inlineStr">
        <is>
          <t>このファイルは何？</t>
        </is>
      </c>
    </row>
    <row r="2">
      <c r="B2" s="22" t="inlineStr">
        <is>
          <t>RINCLE が「もうかる仕組みになっているか」を見るためのファイルです。前半は本番データから分かった事実、後半は「もしも」を計算する電卓。このExcelが収益モデルの正本です（根拠と出典は⑨「出典と経緯」シート）。</t>
        </is>
      </c>
    </row>
    <row r="3"/>
    <row r="4">
      <c r="A4" s="33" t="inlineStr">
        <is>
          <t>マスの色のルール</t>
        </is>
      </c>
    </row>
    <row r="5">
      <c r="A5" s="34" t="inlineStr">
        <is>
          <t>黄色のマス</t>
        </is>
      </c>
      <c r="B5" s="35" t="inlineStr">
        <is>
          <t>自由に書き換えてOK（前提の数字・記入欄）。変えると計算が自動で変わる</t>
        </is>
      </c>
    </row>
    <row r="6">
      <c r="A6" s="36" t="inlineStr">
        <is>
          <t>青色のマス</t>
        </is>
      </c>
      <c r="B6" s="35" t="inlineStr">
        <is>
          <t>自動計算。数式が入っているので触らない</t>
        </is>
      </c>
    </row>
    <row r="7">
      <c r="A7" s="37" t="inlineStr">
        <is>
          <t>ピンクのマス</t>
        </is>
      </c>
      <c r="B7" s="35" t="inlineStr">
        <is>
          <t>「まだ確認できていない・仮・問題あり」の印</t>
        </is>
      </c>
    </row>
    <row r="8"/>
    <row r="9">
      <c r="A9" s="33" t="inlineStr">
        <is>
          <t>各シートの説明</t>
        </is>
      </c>
    </row>
    <row r="10" ht="34" customHeight="1" s="31">
      <c r="A10" s="38" t="inlineStr">
        <is>
          <t>② 実態サマリー</t>
        </is>
      </c>
      <c r="B10" s="35" t="inlineStr">
        <is>
          <t>本番データから確定した事実の一覧（手数料15%・店舗54・実入金¥8,690など）。会議で「今どうなってる？」に答えるシート</t>
        </is>
      </c>
    </row>
    <row r="11" ht="34" customHeight="1" s="31">
      <c r="A11" s="38" t="inlineStr">
        <is>
          <t>③ 収益の論点</t>
        </is>
      </c>
      <c r="B11" s="35" t="inlineStr">
        <is>
          <t>見つかった問題と打ち手。最重要は「店頭決済の手数料¥76,150が未回収」問題</t>
        </is>
      </c>
    </row>
    <row r="12" ht="34" customHeight="1" s="31">
      <c r="A12" s="38" t="inlineStr">
        <is>
          <t>④ コスト棚卸し</t>
        </is>
      </c>
      <c r="B12" s="35" t="inlineStr">
        <is>
          <t>毎月出ていくお金のリスト。本当の金額が分かったら黄色マスに上書き（⑤の固定費に自動連動）</t>
        </is>
      </c>
    </row>
    <row r="13" ht="34" customHeight="1" s="31">
      <c r="A13" s="38" t="inlineStr">
        <is>
          <t>⑤ 試算モデル</t>
        </is>
      </c>
      <c r="B13" s="35" t="inlineStr">
        <is>
          <t>メインの電卓。黄色マス5つを変えると「月にいくら残るか」「あと何件でトントンか」が出る</t>
        </is>
      </c>
    </row>
    <row r="14" ht="34" customHeight="1" s="31">
      <c r="A14" s="38" t="inlineStr">
        <is>
          <t>⑥ 月別実績</t>
        </is>
      </c>
      <c r="B14" s="35" t="inlineStr">
        <is>
          <t>過去の実データ（月ごとの完了予約数と手数料収入）。⑤が「もしも」、⑥が「実際」</t>
        </is>
      </c>
    </row>
    <row r="15" ht="34" customHeight="1" s="31">
      <c r="A15" s="38" t="inlineStr">
        <is>
          <t>⑦ KPIツリー</t>
        </is>
      </c>
      <c r="B15" s="35" t="inlineStr">
        <is>
          <t>収益を掛け算に分解した地図。どこがボトルネックか・施策がどの数字を動かすかを見る（施策はノード指定が必須ルール）</t>
        </is>
      </c>
    </row>
    <row r="16" ht="34" customHeight="1" s="31">
      <c r="A16" s="38" t="inlineStr">
        <is>
          <t>⑧ KPI計画</t>
        </is>
      </c>
      <c r="B16" s="35" t="inlineStr">
        <is>
          <t>2026年下期の目標数字の設計図（クライアントと握る叩き台）。前提の黄色マスを変えると計画全体が自動で引き直される</t>
        </is>
      </c>
    </row>
    <row r="17" ht="34" customHeight="1" s="31">
      <c r="A17" s="38" t="inlineStr">
        <is>
          <t>⑨ KPI進捗</t>
        </is>
      </c>
      <c r="B17" s="35" t="inlineStr">
        <is>
          <t>毎月のKGI/KPIの目標・実績・達成率。月1回、DBエクスポートとPay.jpを見て記入する（色分けは自動）</t>
        </is>
      </c>
    </row>
    <row r="18">
      <c r="A18" s="38" t="inlineStr">
        <is>
          <t>⑩ 需給分析</t>
        </is>
      </c>
      <c r="B18" s="35" t="inlineStr">
        <is>
          <t>店舗・在庫（供給）とアクセス・利用者（需要）のバランス。ボトルネックは需要側、という根拠</t>
        </is>
      </c>
    </row>
    <row r="19">
      <c r="A19" s="38" t="inlineStr">
        <is>
          <t>⑪ 確認リスト</t>
        </is>
      </c>
      <c r="B19" s="35" t="inlineStr">
        <is>
          <t>クライアントに聞くこと6つ。黄色の回答欄に聞いた結果を記入する</t>
        </is>
      </c>
    </row>
    <row r="20">
      <c r="A20" s="38" t="inlineStr">
        <is>
          <t>⑫ 出典と経緯</t>
        </is>
      </c>
      <c r="B20" s="35" t="inlineStr">
        <is>
          <t>データの出どころと、分析の途中で訂正した内容の記録。「この数字どこから？」に答えるシート</t>
        </is>
      </c>
    </row>
    <row r="21"/>
    <row r="22">
      <c r="A22" s="33" t="inlineStr">
        <is>
          <t>用語ミニ辞典</t>
        </is>
      </c>
    </row>
    <row r="23">
      <c r="A23" s="39" t="inlineStr">
        <is>
          <t>手数料率</t>
        </is>
      </c>
      <c r="B23" s="35" t="inlineStr">
        <is>
          <t>予約料金のうちRINCLEがもらう割合（15%）。1万円の予約でRINCLEに1,500円</t>
        </is>
      </c>
    </row>
    <row r="24">
      <c r="A24" s="39" t="inlineStr">
        <is>
          <t>GMV</t>
        </is>
      </c>
      <c r="B24" s="35" t="inlineStr">
        <is>
          <t>お客さんが払ったお金の合計（流通総額）。RINCLEの売上ではない。取り分はGMV×15%</t>
        </is>
      </c>
    </row>
    <row r="25">
      <c r="A25" s="39" t="inlineStr">
        <is>
          <t>徴収率</t>
        </is>
      </c>
      <c r="B25" s="35" t="inlineStr">
        <is>
          <t>もらえるはずの手数料のうち実際に受け取れた割合。店頭決済分が未回収なのが今の大問題</t>
        </is>
      </c>
    </row>
    <row r="26">
      <c r="A26" s="39" t="inlineStr">
        <is>
          <t>固定費</t>
        </is>
      </c>
      <c r="B26" s="35" t="inlineStr">
        <is>
          <t>予約が0件でも毎月出ていくお金（サーバー代・人件費など）</t>
        </is>
      </c>
    </row>
    <row r="27" ht="40" customHeight="1" s="31">
      <c r="A27" s="39" t="inlineStr">
        <is>
          <t>損益分岐</t>
        </is>
      </c>
      <c r="B27" s="35" t="inlineStr">
        <is>
          <t>入るお金と出るお金がトントンになるライン（月◯件予約があれば赤字じゃなくなる、の◯件）</t>
        </is>
      </c>
    </row>
    <row r="28">
      <c r="A28" s="39" t="inlineStr">
        <is>
          <t>ユニットエコノミクス</t>
        </is>
      </c>
      <c r="B28" s="35" t="inlineStr">
        <is>
          <t>「予約1件あたりで見て、もうかる構造か？」を確かめる考え方。⑤試算モデルがそれ</t>
        </is>
      </c>
    </row>
    <row r="29"/>
    <row r="30">
      <c r="A30" s="33" t="inlineStr">
        <is>
          <t>使い方の例</t>
        </is>
      </c>
    </row>
    <row r="31">
      <c r="B31" s="22" t="inlineStr">
        <is>
          <t>「もし予約が月100件になったら？」→ ⑤試算モデルの件数マスを100に。「人件費が月20万だったら？」→ ④コスト棚卸しに200000を記入。数字で遊んでも実績データ（⑥）は壊れません。</t>
        </is>
      </c>
    </row>
    <row r="32"/>
    <row r="33">
      <c r="B33" s="40" t="inlineStr">
        <is>
          <t>出典・検証経緯: ⑨出典と経緯シート（2026-06-11時点）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31" min="1" max="1"/>
    <col width="26" customWidth="1" style="31" min="2" max="2"/>
    <col width="60" customWidth="1" style="31" min="3" max="3"/>
  </cols>
  <sheetData>
    <row r="1">
      <c r="A1" s="41" t="inlineStr">
        <is>
          <t>RINCLE の実態サマリー（データ検証済みの事実）</t>
        </is>
      </c>
    </row>
    <row r="2">
      <c r="A2" s="40" t="inlineStr">
        <is>
          <t>分析日: 2026-06-11（本番データ）。出典・検証経緯は「出典と経緯」シート参照</t>
        </is>
      </c>
    </row>
    <row r="3"/>
    <row r="4">
      <c r="A4" s="42" t="inlineStr">
        <is>
          <t>■ 前提となる事実</t>
        </is>
      </c>
    </row>
    <row r="5">
      <c r="A5" s="38" t="inlineStr">
        <is>
          <t>項目</t>
        </is>
      </c>
      <c r="B5" s="38" t="inlineStr">
        <is>
          <t>値</t>
        </is>
      </c>
      <c r="C5" s="38" t="inlineStr">
        <is>
          <t>出所・備考</t>
        </is>
      </c>
    </row>
    <row r="6">
      <c r="A6" s="35" t="inlineStr">
        <is>
          <t>プラットフォーム手数料</t>
        </is>
      </c>
      <c r="B6" s="35" t="inlineStr">
        <is>
          <t>15%（2026-04末〜05に10%から切替）</t>
        </is>
      </c>
      <c r="C6" s="35" t="inlineStr">
        <is>
          <t>5月の完了予約21件すべて合計金額×15%と一致を確認</t>
        </is>
      </c>
    </row>
    <row r="7">
      <c r="A7" s="35" t="inlineStr">
        <is>
          <t>カード手数料 約3.5%</t>
        </is>
      </c>
      <c r="B7" s="35" t="inlineStr">
        <is>
          <t>店舗負担</t>
        </is>
      </c>
      <c r="C7" s="35" t="inlineStr">
        <is>
          <t>決済フローAs-Is</t>
        </is>
      </c>
    </row>
    <row r="8">
      <c r="A8" s="35" t="inlineStr">
        <is>
          <t>店舗側の合計負担率</t>
        </is>
      </c>
      <c r="B8" s="35" t="inlineStr">
        <is>
          <t>18.5%</t>
        </is>
      </c>
      <c r="C8" s="35" t="inlineStr">
        <is>
          <t>OTA相場（10〜20%・決済込み）の上限相当。追加値上げの余地は実質なし</t>
        </is>
      </c>
    </row>
    <row r="9">
      <c r="A9" s="35" t="inlineStr">
        <is>
          <t>登録店舗数</t>
        </is>
      </c>
      <c r="B9" s="35" t="inlineStr">
        <is>
          <t>54店舗</t>
        </is>
      </c>
      <c r="C9" s="35" t="inlineStr">
        <is>
          <t>DBで確定。口頭の「100」は別の定義か誤伝</t>
        </is>
      </c>
    </row>
    <row r="10">
      <c r="A10" s="35" t="inlineStr">
        <is>
          <t>登録利用者数</t>
        </is>
      </c>
      <c r="B10" s="35" t="inlineStr">
        <is>
          <t>91人（カード登録済み88人）</t>
        </is>
      </c>
      <c r="C10" s="35" t="inlineStr">
        <is>
          <t>users.csv</t>
        </is>
      </c>
    </row>
    <row r="11">
      <c r="A11" s="35" t="inlineStr">
        <is>
          <t>実予約（累計）</t>
        </is>
      </c>
      <c r="B11" s="35" t="inlineStr">
        <is>
          <t>70件（完了49・キャンセル16・来客待ち5）</t>
        </is>
      </c>
      <c r="C11" s="35" t="inlineStr">
        <is>
          <t>残り51レコードは「仮情報」=未確定ドラフト</t>
        </is>
      </c>
    </row>
    <row r="12">
      <c r="A12" s="35" t="inlineStr">
        <is>
          <t>RINCLEの実入金（全期間）</t>
        </is>
      </c>
      <c r="B12" s="35" t="inlineStr">
        <is>
          <t>¥8,690（+次回入金予定¥6,940）</t>
        </is>
      </c>
      <c r="C12" s="35" t="inlineStr">
        <is>
          <t>Pay.jp本番スクショで確定（売上一覧は全10件のみ）</t>
        </is>
      </c>
    </row>
    <row r="13"/>
    <row r="14">
      <c r="A14" s="42" t="inlineStr">
        <is>
          <t>■ 予約レコード121件の内訳</t>
        </is>
      </c>
    </row>
    <row r="15">
      <c r="A15" s="38" t="inlineStr">
        <is>
          <t>ステータス</t>
        </is>
      </c>
      <c r="B15" s="38" t="inlineStr">
        <is>
          <t>件数</t>
        </is>
      </c>
      <c r="C15" s="38" t="inlineStr">
        <is>
          <t>手数料</t>
        </is>
      </c>
    </row>
    <row r="16">
      <c r="A16" s="35" t="inlineStr">
        <is>
          <t>返却済み（完了）</t>
        </is>
      </c>
      <c r="B16" s="35" t="n">
        <v>49</v>
      </c>
      <c r="C16" s="35" t="inlineStr">
        <is>
          <t>全件記録あり（記録漏れゼロ）</t>
        </is>
      </c>
    </row>
    <row r="17">
      <c r="A17" s="35" t="inlineStr">
        <is>
          <t>キャンセル</t>
        </is>
      </c>
      <c r="B17" s="35" t="n">
        <v>16</v>
      </c>
      <c r="C17" s="35" t="inlineStr">
        <is>
          <t>なし（課金前キャンセルのため正常）</t>
        </is>
      </c>
    </row>
    <row r="18">
      <c r="A18" s="35" t="inlineStr">
        <is>
          <t>来客待ち（未来の予約）</t>
        </is>
      </c>
      <c r="B18" s="35" t="n">
        <v>5</v>
      </c>
      <c r="C18" s="35" t="inlineStr">
        <is>
          <t>なし（ライド開始時課金のため正常）</t>
        </is>
      </c>
    </row>
    <row r="19">
      <c r="A19" s="35" t="inlineStr">
        <is>
          <t>仮情報（未確定ドラフト）</t>
        </is>
      </c>
      <c r="B19" s="35" t="n">
        <v>51</v>
      </c>
      <c r="C19" s="35" t="inlineStr">
        <is>
          <t>なし（予約番号も未採番）</t>
        </is>
      </c>
    </row>
    <row r="20"/>
    <row r="21">
      <c r="A21" s="42" t="inlineStr">
        <is>
          <t>■ 注目すべき率</t>
        </is>
      </c>
    </row>
    <row r="22">
      <c r="A22" s="38" t="inlineStr">
        <is>
          <t>指標</t>
        </is>
      </c>
      <c r="B22" s="38" t="inlineStr">
        <is>
          <t>値</t>
        </is>
      </c>
      <c r="C22" s="38" t="inlineStr">
        <is>
          <t>含意</t>
        </is>
      </c>
    </row>
    <row r="23">
      <c r="A23" s="35" t="inlineStr">
        <is>
          <t>キャンセル率</t>
        </is>
      </c>
      <c r="B23" s="35" t="inlineStr">
        <is>
          <t>16/70 = 23%</t>
        </is>
      </c>
      <c r="C23" s="35" t="inlineStr">
        <is>
          <t>高い。理由の内訳が要確認（悪天候？）</t>
        </is>
      </c>
    </row>
    <row r="24">
      <c r="A24" s="35" t="inlineStr">
        <is>
          <t>予約実績のある店舗</t>
        </is>
      </c>
      <c r="B24" s="35" t="inlineStr">
        <is>
          <t>20/52店舗</t>
        </is>
      </c>
      <c r="C24" s="35" t="inlineStr">
        <is>
          <t>32店舗は開設以来予約ゼロ（→需給分析シート）</t>
        </is>
      </c>
    </row>
    <row r="25">
      <c r="A25" s="35" t="inlineStr">
        <is>
          <t>取り分/件（5月実測）</t>
        </is>
      </c>
      <c r="B25" s="35" t="inlineStr">
        <is>
          <t>¥1,532</t>
        </is>
      </c>
      <c r="C25" s="35" t="inlineStr">
        <is>
          <t>完了21件の平均。平均予約単価 ≈ ¥10,200</t>
        </is>
      </c>
    </row>
    <row r="26"/>
    <row r="27">
      <c r="A27" s="42" t="inlineStr">
        <is>
          <t>■ データ異常（DB再構築・バグ修正への入力）</t>
        </is>
      </c>
    </row>
    <row r="28">
      <c r="A28" s="22" t="inlineStr">
        <is>
          <t>・予約番号の重複: 1000000×3件・1000001×3件（採番ロジックのバグ疑い）</t>
        </is>
      </c>
    </row>
    <row r="29">
      <c r="A29" s="22" t="inlineStr">
        <is>
          <t>・合計金額¥12,001が3件（¥12,000+1円。金額計算バグ疑い）</t>
        </is>
      </c>
    </row>
    <row r="30">
      <c r="A30" s="22" t="inlineStr">
        <is>
          <t>・完全な空行が2件</t>
        </is>
      </c>
    </row>
    <row r="31">
      <c r="A31" s="22" t="inlineStr">
        <is>
          <t>・延長料金に手数料が掛かっていない（延長3件・計¥23,650 → 約¥3,500の取りこぼし）</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style="31" min="1" max="1"/>
    <col width="16" customWidth="1" style="31" min="2" max="2"/>
    <col width="20" customWidth="1" style="31" min="3" max="3"/>
    <col width="60" customWidth="1" style="31" min="4" max="4"/>
  </cols>
  <sheetData>
    <row r="1">
      <c r="A1" s="41" t="inlineStr">
        <is>
          <t>収益の論点（優先度順）</t>
        </is>
      </c>
    </row>
    <row r="2">
      <c r="A2" s="40" t="inlineStr">
        <is>
          <t>分析日: 2026-06-11（本番データ）。出典・検証経緯は「出典と経緯」シート参照</t>
        </is>
      </c>
    </row>
    <row r="3"/>
    <row r="4">
      <c r="A4" s="42" t="inlineStr">
        <is>
          <t>■ 論点① 店頭決済の手数料¥76,150が未請求のまま【最重要】</t>
        </is>
      </c>
    </row>
    <row r="5">
      <c r="A5" s="38" t="inlineStr">
        <is>
          <t>支払い方法</t>
        </is>
      </c>
      <c r="B5" s="38" t="inlineStr">
        <is>
          <t>件数</t>
        </is>
      </c>
      <c r="C5" s="38" t="inlineStr">
        <is>
          <t>手数料計</t>
        </is>
      </c>
      <c r="D5" s="38" t="inlineStr">
        <is>
          <t>請求済みフラグ</t>
        </is>
      </c>
    </row>
    <row r="6">
      <c r="A6" s="43" t="inlineStr">
        <is>
          <t>クレジットカード決済</t>
        </is>
      </c>
      <c r="B6" s="43" t="n">
        <v>6</v>
      </c>
      <c r="C6" s="43" t="inlineStr">
        <is>
          <t>¥10,780</t>
        </is>
      </c>
      <c r="D6" s="43" t="inlineStr">
        <is>
          <t>はい（Pay.jpが自動分配）</t>
        </is>
      </c>
    </row>
    <row r="7">
      <c r="A7" s="44" t="inlineStr">
        <is>
          <t>店頭決済</t>
        </is>
      </c>
      <c r="B7" s="44" t="n">
        <v>43</v>
      </c>
      <c r="C7" s="44" t="inlineStr">
        <is>
          <t>¥76,150</t>
        </is>
      </c>
      <c r="D7" s="44" t="inlineStr">
        <is>
          <t>すべて「いいえ」</t>
        </is>
      </c>
    </row>
    <row r="8"/>
    <row r="9">
      <c r="A9" s="22" t="inlineStr">
        <is>
          <t>・月次請求用の「手数料月ごと」テーブルは未使用（レコードなし）と確認済み</t>
        </is>
      </c>
    </row>
    <row r="10">
      <c r="A10" s="22" t="inlineStr">
        <is>
          <t>・Pay.jp本番: 売上一覧は全期間で10件のみ・入金残高¥8,690 → 8ヶ月の実収入は約9千円で確定</t>
        </is>
      </c>
    </row>
    <row r="11">
      <c r="A11" s="22" t="inlineStr">
        <is>
          <t>・構造問題: カード手数料3.5%は店舗負担のため、店舗には店頭決済に誘導する動機がある（88%が店頭決済）</t>
        </is>
      </c>
    </row>
    <row r="12"/>
    <row r="13">
      <c r="A13" s="42" t="inlineStr">
        <is>
          <t>■ 打ち手の候補</t>
        </is>
      </c>
    </row>
    <row r="14">
      <c r="A14" s="38" t="inlineStr">
        <is>
          <t>案</t>
        </is>
      </c>
      <c r="B14" s="38" t="inlineStr">
        <is>
          <t>内容</t>
        </is>
      </c>
      <c r="C14" s="38" t="inlineStr">
        <is>
          <t>評価</t>
        </is>
      </c>
      <c r="D14" s="38" t="inlineStr">
        <is>
          <t>備考</t>
        </is>
      </c>
    </row>
    <row r="15">
      <c r="A15" s="35" t="inlineStr">
        <is>
          <t>1</t>
        </is>
      </c>
      <c r="B15" s="35" t="inlineStr">
        <is>
          <t>オンライン決済のデフォルト化/必須化</t>
        </is>
      </c>
      <c r="C15" s="35" t="inlineStr">
        <is>
          <t>最も確実</t>
        </is>
      </c>
      <c r="D15" s="35" t="inlineStr">
        <is>
          <t>Pay.jp自動分配に乗せて構造ごと解決。店舗の反発とCVR影響は考慮</t>
        </is>
      </c>
    </row>
    <row r="16">
      <c r="A16" s="35" t="inlineStr">
        <is>
          <t>2</t>
        </is>
      </c>
      <c r="B16" s="35" t="inlineStr">
        <is>
          <t>月次請求オペの構築</t>
        </is>
      </c>
      <c r="C16" s="35" t="inlineStr">
        <is>
          <t>器はある</t>
        </is>
      </c>
      <c r="D16" s="35" t="inlineStr">
        <is>
          <t>手数料月ごとテーブルの運用開始+請求書発行。運用コストが永続</t>
        </is>
      </c>
    </row>
    <row r="17">
      <c r="A17" s="35" t="inlineStr">
        <is>
          <t>3</t>
        </is>
      </c>
      <c r="B17" s="35" t="inlineStr">
        <is>
          <t>過去分¥76,150の扱い</t>
        </is>
      </c>
      <c r="C17" s="35" t="inlineStr">
        <is>
          <t>経営判断</t>
        </is>
      </c>
      <c r="D17" s="35" t="inlineStr">
        <is>
          <t>遡及請求は関係を壊すリスク。「過去分免除」をグッドウィルに使い「◯月から回収開始」が現実的か</t>
        </is>
      </c>
    </row>
    <row r="18"/>
    <row r="19">
      <c r="A19" s="42" t="inlineStr">
        <is>
          <t>■ その他の論点</t>
        </is>
      </c>
    </row>
    <row r="20">
      <c r="A20" s="38" t="inlineStr">
        <is>
          <t>論点</t>
        </is>
      </c>
      <c r="B20" s="38" t="inlineStr">
        <is>
          <t>状態</t>
        </is>
      </c>
      <c r="C20" s="38" t="inlineStr">
        <is>
          <t>内容</t>
        </is>
      </c>
      <c r="D20" s="38" t="inlineStr"/>
    </row>
    <row r="21">
      <c r="A21" s="35" t="inlineStr">
        <is>
          <t>② 手数料15%</t>
        </is>
      </c>
      <c r="B21" s="35" t="inlineStr">
        <is>
          <t>検証完了</t>
        </is>
      </c>
      <c r="C21" s="35" t="inlineStr">
        <is>
          <t>2026-05以降の全完了予約で15%を確認。問題なし</t>
        </is>
      </c>
      <c r="D21" s="35" t="inlineStr"/>
    </row>
    <row r="22">
      <c r="A22" s="35" t="inlineStr">
        <is>
          <t>③ 延長料金に手数料なし</t>
        </is>
      </c>
      <c r="B22" s="35" t="inlineStr">
        <is>
          <t>要修正</t>
        </is>
      </c>
      <c r="C22" s="35" t="inlineStr">
        <is>
          <t>延長分の15%（約¥3,500相当）が取れていない。DB再構築の決済ロジックで対応</t>
        </is>
      </c>
      <c r="D22" s="35" t="inlineStr"/>
    </row>
    <row r="23">
      <c r="A23" s="35" t="inlineStr">
        <is>
          <t>④ キャンセル率23%</t>
        </is>
      </c>
      <c r="B23" s="35" t="inlineStr">
        <is>
          <t>要確認</t>
        </is>
      </c>
      <c r="C23" s="35" t="inlineStr">
        <is>
          <t>理由内訳が分かればキャンセルポリシー施策のコスト試算ができる</t>
        </is>
      </c>
      <c r="D23" s="3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zoomScale="150" zoomScaleNormal="150" workbookViewId="0">
      <selection activeCell="C12" sqref="C12"/>
    </sheetView>
  </sheetViews>
  <sheetFormatPr baseColWidth="10" defaultColWidth="8.83203125" defaultRowHeight="14"/>
  <cols>
    <col width="34" customWidth="1" style="31" min="1" max="1"/>
    <col width="10" customWidth="1" style="31" min="2" max="2"/>
    <col width="14" customWidth="1" style="31" min="3" max="3"/>
    <col width="10" customWidth="1" style="31" min="4" max="4"/>
    <col width="52" customWidth="1" style="31" min="5" max="5"/>
  </cols>
  <sheetData>
    <row r="1" ht="16" customHeight="1" s="31">
      <c r="A1" s="18" t="inlineStr">
        <is>
          <t>RINCLE 月次コスト構造の棚卸し</t>
        </is>
      </c>
    </row>
    <row r="2">
      <c r="A2" s="2" t="inlineStr">
        <is>
          <t>黄色セル＝クライアント確認後に実数を記入。合計は「試算モデル」シートの固定費(B9)に自動連動</t>
        </is>
      </c>
    </row>
    <row r="3"/>
    <row r="4">
      <c r="A4" s="12" t="inlineStr">
        <is>
          <t>項目</t>
        </is>
      </c>
      <c r="B4" s="12" t="inlineStr">
        <is>
          <t>分類</t>
        </is>
      </c>
      <c r="C4" s="12" t="inlineStr">
        <is>
          <t>月額</t>
        </is>
      </c>
      <c r="D4" s="12" t="inlineStr">
        <is>
          <t>状態</t>
        </is>
      </c>
      <c r="E4" s="12" t="inlineStr">
        <is>
          <t>メモ</t>
        </is>
      </c>
    </row>
    <row r="5">
      <c r="A5" s="4" t="inlineStr">
        <is>
          <t>Bubble Growthプラン（年契約）</t>
        </is>
      </c>
      <c r="B5" s="4" t="inlineStr">
        <is>
          <t>固定</t>
        </is>
      </c>
      <c r="C5" s="45" t="n">
        <v>18000</v>
      </c>
      <c r="D5" s="4" t="inlineStr">
        <is>
          <t>ほぼ確定</t>
        </is>
      </c>
      <c r="E5" s="19" t="inlineStr">
        <is>
          <t>$119/月×約150円。為替と契約明細で要最終確認</t>
        </is>
      </c>
    </row>
    <row r="6">
      <c r="A6" s="4" t="inlineStr">
        <is>
          <t>独自ドメイン（rincle.co.jp）</t>
        </is>
      </c>
      <c r="B6" s="4" t="inlineStr">
        <is>
          <t>固定</t>
        </is>
      </c>
      <c r="C6" s="45" t="n">
        <v>300</v>
      </c>
      <c r="D6" s="20" t="inlineStr">
        <is>
          <t>仮置き</t>
        </is>
      </c>
      <c r="E6" s="19" t="inlineStr">
        <is>
          <t>年額を12分割した概算</t>
        </is>
      </c>
    </row>
    <row r="7">
      <c r="A7" s="4" t="inlineStr">
        <is>
          <t>Pay.jp 月額固定費</t>
        </is>
      </c>
      <c r="B7" s="4" t="inlineStr">
        <is>
          <t>固定</t>
        </is>
      </c>
      <c r="C7" s="45" t="n">
        <v>0</v>
      </c>
      <c r="D7" s="4" t="inlineStr">
        <is>
          <t>確定</t>
        </is>
      </c>
      <c r="E7" s="19" t="inlineStr">
        <is>
          <t>月額0円・従量のみ。カード手数料3.5%は店舗負担</t>
        </is>
      </c>
    </row>
    <row r="8">
      <c r="A8" s="4" t="inlineStr">
        <is>
          <t>運営人件費（予約対応・店舗サポート）</t>
        </is>
      </c>
      <c r="B8" s="4" t="inlineStr">
        <is>
          <t>固定</t>
        </is>
      </c>
      <c r="C8" s="45" t="n">
        <v>60000</v>
      </c>
      <c r="D8" s="20" t="inlineStr">
        <is>
          <t>仮置き</t>
        </is>
      </c>
      <c r="E8" s="19" t="inlineStr">
        <is>
          <t>誰が何時間/月使っているか要確認。専任なしなら按分で</t>
        </is>
      </c>
    </row>
    <row r="9">
      <c r="A9" s="4" t="inlineStr">
        <is>
          <t>メール配信（SendGrid等Bubble外のツール）</t>
        </is>
      </c>
      <c r="B9" s="4" t="inlineStr">
        <is>
          <t>固定</t>
        </is>
      </c>
      <c r="C9" s="45" t="n">
        <v>0</v>
      </c>
      <c r="D9" s="20" t="inlineStr">
        <is>
          <t>要確認</t>
        </is>
      </c>
      <c r="E9" s="19" t="inlineStr">
        <is>
          <t>Bubble標準のみなら0円</t>
        </is>
      </c>
    </row>
    <row r="10">
      <c r="A10" s="4" t="inlineStr">
        <is>
          <t>会計・請求・その他SaaS</t>
        </is>
      </c>
      <c r="B10" s="4" t="inlineStr">
        <is>
          <t>固定</t>
        </is>
      </c>
      <c r="C10" s="45" t="n">
        <v>0</v>
      </c>
      <c r="D10" s="20" t="inlineStr">
        <is>
          <t>要確認</t>
        </is>
      </c>
      <c r="E10" s="19" t="inlineStr">
        <is>
          <t>請求オペを始める場合はここに追加</t>
        </is>
      </c>
    </row>
    <row r="11">
      <c r="A11" s="4" t="inlineStr">
        <is>
          <t>開発・保守委託費</t>
        </is>
      </c>
      <c r="B11" s="4" t="inlineStr">
        <is>
          <t>固定</t>
        </is>
      </c>
      <c r="C11" s="45" t="n">
        <v>0</v>
      </c>
      <c r="D11" s="20" t="inlineStr">
        <is>
          <t>要確認</t>
        </is>
      </c>
      <c r="E11" s="19" t="inlineStr">
        <is>
          <t>別予算（投資）扱いなら0のままでOK。回収を試算に含めるなら記入</t>
        </is>
      </c>
    </row>
    <row r="12">
      <c r="A12" s="4" t="inlineStr">
        <is>
          <t>広告費</t>
        </is>
      </c>
      <c r="B12" s="4" t="inlineStr">
        <is>
          <t>変動</t>
        </is>
      </c>
      <c r="C12" s="45" t="n">
        <v>0</v>
      </c>
      <c r="D12" s="4" t="inlineStr">
        <is>
          <t>確定(現状)</t>
        </is>
      </c>
      <c r="E12" s="19" t="inlineStr">
        <is>
          <t>現在ゼロ。スモークテスト開始時に記入</t>
        </is>
      </c>
    </row>
    <row r="13">
      <c r="A13" s="17" t="inlineStr">
        <is>
          <t>月次固定費 合計</t>
        </is>
      </c>
      <c r="B13" s="4" t="n"/>
      <c r="C13" s="46">
        <f>SUM(C5:C12)</f>
        <v/>
      </c>
      <c r="D13" s="4" t="n"/>
      <c r="E13"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zoomScale="160" zoomScaleNormal="160" workbookViewId="0">
      <selection activeCell="B22" sqref="B22"/>
    </sheetView>
  </sheetViews>
  <sheetFormatPr baseColWidth="10" defaultColWidth="8.83203125" defaultRowHeight="14"/>
  <cols>
    <col width="34" customWidth="1" style="31" min="1" max="1"/>
    <col width="16" customWidth="1" style="31" min="2" max="6"/>
  </cols>
  <sheetData>
    <row r="1" ht="17" customHeight="1" s="31">
      <c r="A1" s="1" t="inlineStr">
        <is>
          <t>RINCLE ユニットエコノミクス試算モデル</t>
        </is>
      </c>
    </row>
    <row r="2">
      <c r="A2" s="2" t="inlineStr">
        <is>
          <t>黄色セル＝前提（自由に変更可） / 青セル＝自動計算。根拠は revenue-model.md 参照</t>
        </is>
      </c>
    </row>
    <row r="3"/>
    <row r="4">
      <c r="A4" s="3" t="inlineStr">
        <is>
          <t>■ 前提（入力）</t>
        </is>
      </c>
    </row>
    <row r="5">
      <c r="A5" s="4" t="inlineStr">
        <is>
          <t>手数料率</t>
        </is>
      </c>
      <c r="B5" s="47" t="n">
        <v>0.15</v>
      </c>
      <c r="C5" s="6" t="inlineStr">
        <is>
          <t>契約15%・2026-05から実装も15%（全件照合済み）。4月以前は10%</t>
        </is>
      </c>
    </row>
    <row r="6">
      <c r="A6" s="4" t="inlineStr">
        <is>
          <t>平均予約単価（GMV）</t>
        </is>
      </c>
      <c r="B6" s="45" t="n">
        <v>10200</v>
      </c>
      <c r="C6" s="6" t="inlineStr">
        <is>
          <t>実測: 5月の完了21件平均手数料¥1,532÷15%。6月は大口化で上昇傾向（参考¥25,700）</t>
        </is>
      </c>
    </row>
    <row r="7">
      <c r="A7" s="4" t="inlineStr">
        <is>
          <t>月間予約件数</t>
        </is>
      </c>
      <c r="B7" s="48" t="n">
        <v>21</v>
      </c>
      <c r="C7" s="6" t="inlineStr">
        <is>
          <t>実績: 2026年5月の完了予約（実予約28件、うちキャンセル5・来客待ち等）</t>
        </is>
      </c>
    </row>
    <row r="8">
      <c r="A8" s="4" t="inlineStr">
        <is>
          <t>手数料の徴収率</t>
        </is>
      </c>
      <c r="B8" s="47" t="n">
        <v>1</v>
      </c>
      <c r="C8" s="6" t="inlineStr">
        <is>
          <t>店頭決済分(88%)の月次回収が機能していない場合は0.12に（クレカ分のみ回収）</t>
        </is>
      </c>
    </row>
    <row r="9">
      <c r="A9" s="4" t="inlineStr">
        <is>
          <t>月間固定費</t>
        </is>
      </c>
      <c r="B9" s="45">
        <f>コスト棚卸し!C13</f>
        <v/>
      </c>
      <c r="C9" s="6" t="inlineStr">
        <is>
          <t>「コスト棚卸し」シートの合計に自動連動（仮置き含む。実数記入で更新される）</t>
        </is>
      </c>
    </row>
    <row r="10"/>
    <row r="11">
      <c r="A11" s="3" t="inlineStr">
        <is>
          <t>■ 計算結果</t>
        </is>
      </c>
    </row>
    <row r="12">
      <c r="A12" s="4" t="inlineStr">
        <is>
          <t>RINCLEの取り分 / 件</t>
        </is>
      </c>
      <c r="B12" s="49">
        <f>B6*B5</f>
        <v/>
      </c>
    </row>
    <row r="13">
      <c r="A13" s="4" t="inlineStr">
        <is>
          <t>月間GMV</t>
        </is>
      </c>
      <c r="B13" s="49">
        <f>B6*B7</f>
        <v/>
      </c>
    </row>
    <row r="14">
      <c r="A14" s="4" t="inlineStr">
        <is>
          <t>月間収益（徴収率込み）</t>
        </is>
      </c>
      <c r="B14" s="49">
        <f>B6*B5*B7*B8</f>
        <v/>
      </c>
    </row>
    <row r="15">
      <c r="A15" s="4" t="inlineStr">
        <is>
          <t>月間損益</t>
        </is>
      </c>
      <c r="B15" s="49">
        <f>B14-B9</f>
        <v/>
      </c>
    </row>
    <row r="16">
      <c r="A16" s="4" t="inlineStr">
        <is>
          <t>損益分岐に必要な予約数 / 月</t>
        </is>
      </c>
      <c r="B16" s="50">
        <f>B9/(B6*B5*B8)</f>
        <v/>
      </c>
    </row>
    <row r="17">
      <c r="A17" s="4" t="inlineStr">
        <is>
          <t>現状件数との倍率</t>
        </is>
      </c>
      <c r="B17" s="51">
        <f>B16/B7</f>
        <v/>
      </c>
    </row>
    <row r="18"/>
    <row r="19"/>
    <row r="20">
      <c r="A20" s="3" t="inlineStr">
        <is>
          <t>■ 月間損益マトリクス（行=月間予約件数、列=月間固定費）※手数料率・単価・徴収率は上の前提に連動</t>
        </is>
      </c>
    </row>
    <row r="21">
      <c r="A21" s="12" t="inlineStr">
        <is>
          <t>件数＼固定費</t>
        </is>
      </c>
      <c r="B21" s="52" t="n">
        <v>20000</v>
      </c>
      <c r="C21" s="52" t="n">
        <v>100000</v>
      </c>
      <c r="D21" s="52" t="n">
        <v>300000</v>
      </c>
      <c r="E21" s="52" t="n">
        <v>500000</v>
      </c>
    </row>
    <row r="22">
      <c r="A22" s="53" t="n">
        <v>10</v>
      </c>
      <c r="B22" s="54">
        <f>$A22*$B$6*$B$5*$B$8-B$21</f>
        <v/>
      </c>
      <c r="C22" s="54">
        <f>$A22*$B$6*$B$5*$B$8-C$21</f>
        <v/>
      </c>
      <c r="D22" s="54">
        <f>$A22*$B$6*$B$5*$B$8-D$21</f>
        <v/>
      </c>
      <c r="E22" s="54">
        <f>$A22*$B$6*$B$5*$B$8-E$21</f>
        <v/>
      </c>
    </row>
    <row r="23">
      <c r="A23" s="53" t="n">
        <v>20</v>
      </c>
      <c r="B23" s="54">
        <f>$A23*$B$6*$B$5*$B$8-B$21</f>
        <v/>
      </c>
      <c r="C23" s="54">
        <f>$A23*$B$6*$B$5*$B$8-C$21</f>
        <v/>
      </c>
      <c r="D23" s="54">
        <f>$A23*$B$6*$B$5*$B$8-D$21</f>
        <v/>
      </c>
      <c r="E23" s="54">
        <f>$A23*$B$6*$B$5*$B$8-E$21</f>
        <v/>
      </c>
    </row>
    <row r="24">
      <c r="A24" s="53" t="n">
        <v>41</v>
      </c>
      <c r="B24" s="54">
        <f>$A24*$B$6*$B$5*$B$8-B$21</f>
        <v/>
      </c>
      <c r="C24" s="54">
        <f>$A24*$B$6*$B$5*$B$8-C$21</f>
        <v/>
      </c>
      <c r="D24" s="54">
        <f>$A24*$B$6*$B$5*$B$8-D$21</f>
        <v/>
      </c>
      <c r="E24" s="54">
        <f>$A24*$B$6*$B$5*$B$8-E$21</f>
        <v/>
      </c>
    </row>
    <row r="25">
      <c r="A25" s="53" t="n">
        <v>60</v>
      </c>
      <c r="B25" s="54">
        <f>$A25*$B$6*$B$5*$B$8-B$21</f>
        <v/>
      </c>
      <c r="C25" s="54">
        <f>$A25*$B$6*$B$5*$B$8-C$21</f>
        <v/>
      </c>
      <c r="D25" s="54">
        <f>$A25*$B$6*$B$5*$B$8-D$21</f>
        <v/>
      </c>
      <c r="E25" s="54">
        <f>$A25*$B$6*$B$5*$B$8-E$21</f>
        <v/>
      </c>
    </row>
    <row r="26">
      <c r="A26" s="53" t="n">
        <v>80</v>
      </c>
      <c r="B26" s="54">
        <f>$A26*$B$6*$B$5*$B$8-B$21</f>
        <v/>
      </c>
      <c r="C26" s="54">
        <f>$A26*$B$6*$B$5*$B$8-C$21</f>
        <v/>
      </c>
      <c r="D26" s="54">
        <f>$A26*$B$6*$B$5*$B$8-D$21</f>
        <v/>
      </c>
      <c r="E26" s="54">
        <f>$A26*$B$6*$B$5*$B$8-E$21</f>
        <v/>
      </c>
    </row>
    <row r="27">
      <c r="A27" s="53" t="n">
        <v>113</v>
      </c>
      <c r="B27" s="54">
        <f>$A27*$B$6*$B$5*$B$8-B$21</f>
        <v/>
      </c>
      <c r="C27" s="54">
        <f>$A27*$B$6*$B$5*$B$8-C$21</f>
        <v/>
      </c>
      <c r="D27" s="54">
        <f>$A27*$B$6*$B$5*$B$8-D$21</f>
        <v/>
      </c>
      <c r="E27" s="54">
        <f>$A27*$B$6*$B$5*$B$8-E$21</f>
        <v/>
      </c>
    </row>
    <row r="28">
      <c r="A28" s="53" t="n">
        <v>150</v>
      </c>
      <c r="B28" s="54">
        <f>$A28*$B$6*$B$5*$B$8-B$21</f>
        <v/>
      </c>
      <c r="C28" s="54">
        <f>$A28*$B$6*$B$5*$B$8-C$21</f>
        <v/>
      </c>
      <c r="D28" s="54">
        <f>$A28*$B$6*$B$5*$B$8-D$21</f>
        <v/>
      </c>
      <c r="E28" s="54">
        <f>$A28*$B$6*$B$5*$B$8-E$21</f>
        <v/>
      </c>
    </row>
    <row r="29">
      <c r="A29" s="53" t="n">
        <v>200</v>
      </c>
      <c r="B29" s="54">
        <f>$A29*$B$6*$B$5*$B$8-B$21</f>
        <v/>
      </c>
      <c r="C29" s="54">
        <f>$A29*$B$6*$B$5*$B$8-C$21</f>
        <v/>
      </c>
      <c r="D29" s="54">
        <f>$A29*$B$6*$B$5*$B$8-D$21</f>
        <v/>
      </c>
      <c r="E29" s="54">
        <f>$A29*$B$6*$B$5*$B$8-E$21</f>
        <v/>
      </c>
    </row>
    <row r="30"/>
    <row r="31">
      <c r="A31" s="30" t="inlineStr">
        <is>
          <t>⚠ 論点: 店頭決済43件の手数料¥76,150が請求済み=いいえのまま。回収運用が要確認（revenue-model.md 論点①）</t>
        </is>
      </c>
    </row>
  </sheetData>
  <mergeCells count="1">
    <mergeCell ref="A31:F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zoomScale="170" zoomScaleNormal="170" workbookViewId="0">
      <selection activeCell="B15" sqref="B15"/>
    </sheetView>
  </sheetViews>
  <sheetFormatPr baseColWidth="10" defaultColWidth="8.83203125" defaultRowHeight="14"/>
  <cols>
    <col width="12" customWidth="1" style="31" min="1" max="1"/>
    <col width="18" customWidth="1" style="31" min="2" max="5"/>
  </cols>
  <sheetData>
    <row r="1">
      <c r="A1" s="3" t="inlineStr">
        <is>
          <t>月別の実予約実績（source/reserve.csv・予約番号あり・返却日ベース、2026-06-11時点）</t>
        </is>
      </c>
    </row>
    <row r="2">
      <c r="A2" s="12" t="inlineStr">
        <is>
          <t>月</t>
        </is>
      </c>
      <c r="B2" s="12" t="inlineStr">
        <is>
          <t>完了予約</t>
        </is>
      </c>
      <c r="C2" s="12" t="inlineStr">
        <is>
          <t>手数料収入(実額)</t>
        </is>
      </c>
      <c r="D2" s="12" t="inlineStr">
        <is>
          <t>推定GMV</t>
        </is>
      </c>
      <c r="E2" s="12" t="inlineStr">
        <is>
          <t>メモ</t>
        </is>
      </c>
    </row>
    <row r="3">
      <c r="A3" s="4" t="inlineStr">
        <is>
          <t>2025-10</t>
        </is>
      </c>
      <c r="B3" s="55" t="n">
        <v>1</v>
      </c>
      <c r="C3" s="54" t="n">
        <v>3465</v>
      </c>
      <c r="D3" s="54">
        <f>IF(B3=0,0,C3/IF(A3&lt;"2026-05",0.1,0.15))</f>
        <v/>
      </c>
      <c r="E3" s="4" t="inlineStr">
        <is>
          <t>実予約4・キャンセル3</t>
        </is>
      </c>
    </row>
    <row r="4">
      <c r="A4" s="4" t="inlineStr">
        <is>
          <t>2025-11</t>
        </is>
      </c>
      <c r="B4" s="55" t="n">
        <v>4</v>
      </c>
      <c r="C4" s="54" t="n">
        <v>12980</v>
      </c>
      <c r="D4" s="54">
        <f>IF(B4=0,0,C4/IF(A4&lt;"2026-05",0.1,0.15))</f>
        <v/>
      </c>
      <c r="E4" s="4" t="n"/>
    </row>
    <row r="5">
      <c r="A5" s="4" t="inlineStr">
        <is>
          <t>2025-12</t>
        </is>
      </c>
      <c r="B5" s="55" t="n">
        <v>0</v>
      </c>
      <c r="C5" s="54" t="n">
        <v>0</v>
      </c>
      <c r="D5" s="54">
        <f>IF(B5=0,0,C5/IF(A5&lt;"2026-05",0.1,0.15))</f>
        <v/>
      </c>
      <c r="E5" s="4" t="n"/>
    </row>
    <row r="6">
      <c r="A6" s="4" t="inlineStr">
        <is>
          <t>2026-01</t>
        </is>
      </c>
      <c r="B6" s="55" t="n">
        <v>0</v>
      </c>
      <c r="C6" s="54" t="n">
        <v>0</v>
      </c>
      <c r="D6" s="54">
        <f>IF(B6=0,0,C6/IF(A6&lt;"2026-05",0.1,0.15))</f>
        <v/>
      </c>
      <c r="E6" s="4" t="n"/>
    </row>
    <row r="7">
      <c r="A7" s="4" t="inlineStr">
        <is>
          <t>2026-02</t>
        </is>
      </c>
      <c r="B7" s="55" t="n">
        <v>5</v>
      </c>
      <c r="C7" s="54" t="n">
        <v>4345</v>
      </c>
      <c r="D7" s="54">
        <f>IF(B7=0,0,C7/IF(A7&lt;"2026-05",0.1,0.15))</f>
        <v/>
      </c>
      <c r="E7" s="4" t="n"/>
    </row>
    <row r="8">
      <c r="A8" s="4" t="inlineStr">
        <is>
          <t>2026-03</t>
        </is>
      </c>
      <c r="B8" s="55" t="n">
        <v>5</v>
      </c>
      <c r="C8" s="54" t="n">
        <v>4730</v>
      </c>
      <c r="D8" s="54">
        <f>IF(B8=0,0,C8/IF(A8&lt;"2026-05",0.1,0.15))</f>
        <v/>
      </c>
      <c r="E8" s="4" t="inlineStr">
        <is>
          <t>キャンセル1</t>
        </is>
      </c>
    </row>
    <row r="9">
      <c r="A9" s="4" t="inlineStr">
        <is>
          <t>2026-04</t>
        </is>
      </c>
      <c r="B9" s="55" t="n">
        <v>9</v>
      </c>
      <c r="C9" s="54" t="n">
        <v>13823</v>
      </c>
      <c r="D9" s="54">
        <f>IF(B9=0,0,C9/IF(A9&lt;"2026-05",0.1,0.15))</f>
        <v/>
      </c>
      <c r="E9" s="4" t="inlineStr">
        <is>
          <t>実予約15・キャンセル6・ここまで手数料10%</t>
        </is>
      </c>
    </row>
    <row r="10">
      <c r="A10" s="4" t="inlineStr">
        <is>
          <t>2026-05</t>
        </is>
      </c>
      <c r="B10" s="55" t="n">
        <v>21</v>
      </c>
      <c r="C10" s="54" t="n">
        <v>32175</v>
      </c>
      <c r="D10" s="54">
        <f>IF(B10=0,0,C10/IF(A10&lt;"2026-05",0.1,0.15))</f>
        <v/>
      </c>
      <c r="E10" s="4" t="inlineStr">
        <is>
          <t>実予約28・キャンセル5・15%適用開始</t>
        </is>
      </c>
    </row>
    <row r="11">
      <c r="A11" s="4" t="inlineStr">
        <is>
          <t>2026-06</t>
        </is>
      </c>
      <c r="B11" s="55" t="n">
        <v>4</v>
      </c>
      <c r="C11" s="54" t="n">
        <v>15412</v>
      </c>
      <c r="D11" s="54">
        <f>IF(B11=0,0,C11/IF(A11&lt;"2026-05",0.1,0.15))</f>
        <v/>
      </c>
      <c r="E11" s="4" t="inlineStr">
        <is>
          <t>6/11時点・大口傾向</t>
        </is>
      </c>
    </row>
    <row r="12">
      <c r="A12" s="17" t="inlineStr">
        <is>
          <t>累計</t>
        </is>
      </c>
      <c r="B12" s="53">
        <f>SUM(B3:B11)</f>
        <v/>
      </c>
      <c r="C12" s="49">
        <f>SUM(C3:C11)</f>
        <v/>
      </c>
      <c r="D12" s="49">
        <f>SUM(D3:D11)</f>
        <v/>
      </c>
      <c r="E12" s="4" t="n"/>
    </row>
    <row r="13"/>
    <row r="14"/>
    <row r="15">
      <c r="A15" s="2" t="inlineStr">
        <is>
          <t>実態: 完了49件(手数料記録100%) / キャンセル16件(23%) / 店頭決済43件¥76,150が請求済み=いいえ / 予約実績は20/52店舗のみ</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52" customWidth="1" style="31" min="1" max="1"/>
    <col width="26" customWidth="1" style="31" min="2" max="2"/>
    <col width="56" customWidth="1" style="31" min="3" max="3"/>
  </cols>
  <sheetData>
    <row r="1">
      <c r="A1" s="41" t="inlineStr">
        <is>
          <t>KPIツリー — 収益の分解地図</t>
        </is>
      </c>
    </row>
    <row r="2">
      <c r="A2" s="40" t="inlineStr">
        <is>
          <t>数字は2026年5月の実測。〔KGI〕〔KPI n〕は「KPI計画/進捗」シートで毎月追跡する指標</t>
        </is>
      </c>
    </row>
    <row r="3" ht="30" customHeight="1" s="31">
      <c r="A3" s="90" t="inlineStr">
        <is>
          <t>★運用ルール: 施策を始める前に「この施策はツリーのどのノードを動かすためのものか」を必ず1つ指定する。指定できない施策は思いつきの可能性が高いので保留</t>
        </is>
      </c>
    </row>
    <row r="4"/>
    <row r="5">
      <c r="A5" s="83" t="inlineStr">
        <is>
          <t>月間手数料収益〔KGI〕</t>
        </is>
      </c>
      <c r="B5" t="inlineStr">
        <is>
          <t>実入金¥1,320 / 記録上¥32,175</t>
        </is>
      </c>
      <c r="C5" s="91" t="inlineStr">
        <is>
          <t>目標: 2026-12に¥120,000（KPI計画シート・協議中）</t>
        </is>
      </c>
    </row>
    <row r="6">
      <c r="A6" t="inlineStr">
        <is>
          <t>├─ GMV（流通総額）〔参考指標〕</t>
        </is>
      </c>
      <c r="B6" t="inlineStr">
        <is>
          <t>約¥215,000/月</t>
        </is>
      </c>
      <c r="C6" s="91" t="inlineStr"/>
    </row>
    <row r="7">
      <c r="A7" t="inlineStr">
        <is>
          <t>│   ├─ 完了予約数〔KPI1〕</t>
        </is>
      </c>
      <c r="B7" t="inlineStr">
        <is>
          <t>21件/月</t>
        </is>
      </c>
      <c r="C7" s="91" t="inlineStr"/>
    </row>
    <row r="8">
      <c r="A8" t="inlineStr">
        <is>
          <t>│   │   ├─ 実予約数</t>
        </is>
      </c>
      <c r="B8" t="inlineStr">
        <is>
          <t>28件/月</t>
        </is>
      </c>
      <c r="C8" s="91" t="inlineStr"/>
    </row>
    <row r="9">
      <c r="A9" s="92" t="inlineStr">
        <is>
          <t>│   │   │   ├─ セッション数〔KPI3〕 ★ボトルネック2</t>
        </is>
      </c>
      <c r="B9" s="93" t="inlineStr">
        <is>
          <t>約700ユニークIP/月</t>
        </is>
      </c>
      <c r="C9" s="91" t="inlineStr">
        <is>
          <t>12月に必要なのは約2,600/月（3.7倍）</t>
        </is>
      </c>
    </row>
    <row r="10">
      <c r="A10" t="inlineStr">
        <is>
          <t>│   │   │   │   ├─ Organic Search〔KPI4〕</t>
        </is>
      </c>
      <c r="B10" t="inlineStr">
        <is>
          <t>ほぼゼロ</t>
        </is>
      </c>
      <c r="C10" s="91" t="inlineStr">
        <is>
          <t>GA4設置後に計測開始。現状インデックス2〜3頁</t>
        </is>
      </c>
    </row>
    <row r="11">
      <c r="A11" t="inlineStr">
        <is>
          <t>│   │   │   │   ├─ Direct / Referral（ショップ経由）</t>
        </is>
      </c>
      <c r="B11" t="inlineStr">
        <is>
          <t>内訳未計測</t>
        </is>
      </c>
      <c r="C11" s="91" t="inlineStr"/>
    </row>
    <row r="12">
      <c r="A12" t="inlineStr">
        <is>
          <t>│   │   │   │   ├─ Social</t>
        </is>
      </c>
      <c r="B12" t="inlineStr">
        <is>
          <t>未運用</t>
        </is>
      </c>
      <c r="C12" s="91" t="inlineStr"/>
    </row>
    <row r="13">
      <c r="A13" t="inlineStr">
        <is>
          <t>│   │   │   │   └─ Paid</t>
        </is>
      </c>
      <c r="B13" t="inlineStr">
        <is>
          <t>¥0・未出稿</t>
        </is>
      </c>
      <c r="C13" s="91" t="inlineStr"/>
    </row>
    <row r="14">
      <c r="A14" t="inlineStr">
        <is>
          <t>│   │   │   └─ 予約CVR〔KPI5〕</t>
        </is>
      </c>
      <c r="B14" t="inlineStr">
        <is>
          <t>約4%</t>
        </is>
      </c>
      <c r="C14" s="91" t="inlineStr">
        <is>
          <t>健全水準。分母=流入が先</t>
        </is>
      </c>
    </row>
    <row r="15">
      <c r="A15" t="inlineStr">
        <is>
          <t>│   │   └─ キャンセル率〔参考指標〕</t>
        </is>
      </c>
      <c r="B15" t="inlineStr">
        <is>
          <t>23%</t>
        </is>
      </c>
      <c r="C15" s="91" t="inlineStr">
        <is>
          <t>理由未把握（クライアント確認#2）</t>
        </is>
      </c>
    </row>
    <row r="16">
      <c r="A16" t="inlineStr">
        <is>
          <t>│   └─ 平均予約単価</t>
        </is>
      </c>
      <c r="B16" t="inlineStr">
        <is>
          <t>約¥10,200</t>
        </is>
      </c>
      <c r="C16" s="91" t="inlineStr">
        <is>
          <t>6月は大口化で上昇傾向</t>
        </is>
      </c>
    </row>
    <row r="17">
      <c r="A17" t="inlineStr">
        <is>
          <t>├─ 手数料率</t>
        </is>
      </c>
      <c r="B17" t="inlineStr">
        <is>
          <t>15%（2026-05〜・検証済み）</t>
        </is>
      </c>
      <c r="C17" s="91" t="inlineStr">
        <is>
          <t>店舗負担計18.5%＝上限。これ以上触らない</t>
        </is>
      </c>
    </row>
    <row r="18">
      <c r="A18" s="92" t="inlineStr">
        <is>
          <t>└─ 回収率〔KPI2〕 ★ボトルネック1</t>
        </is>
      </c>
      <c r="B18" s="93" t="inlineStr">
        <is>
          <t>5月4% / 累計12%</t>
        </is>
      </c>
      <c r="C18" s="91" t="inlineStr">
        <is>
          <t>最大の欠損。ただし「未回収」前提は確認#1の答え待ち</t>
        </is>
      </c>
    </row>
    <row r="19">
      <c r="A19" t="inlineStr">
        <is>
          <t xml:space="preserve">　　├─ クレカ決済比率</t>
        </is>
      </c>
      <c r="B19" t="inlineStr">
        <is>
          <t>完了49件中6件=12%</t>
        </is>
      </c>
      <c r="C19" s="91" t="inlineStr">
        <is>
          <t>Pay.jpが自動回収</t>
        </is>
      </c>
    </row>
    <row r="20">
      <c r="A20" t="inlineStr">
        <is>
          <t xml:space="preserve">　　└─ 店頭決済の請求オペ</t>
        </is>
      </c>
      <c r="B20" t="inlineStr">
        <is>
          <t>未稼働</t>
        </is>
      </c>
      <c r="C20" s="91" t="inlineStr">
        <is>
          <t>累計¥76,150が請求済み=いいえのまま</t>
        </is>
      </c>
    </row>
    <row r="21">
      <c r="A21" t="inlineStr"/>
      <c r="B21" t="inlineStr"/>
      <c r="C21" s="91" t="inlineStr"/>
    </row>
    <row r="22">
      <c r="A22" s="83" t="inlineStr">
        <is>
          <t>【供給側の健康指標・ツリーの土台】</t>
        </is>
      </c>
      <c r="B22" t="inlineStr"/>
      <c r="C22" s="91" t="inlineStr"/>
    </row>
    <row r="23">
      <c r="A23" t="inlineStr">
        <is>
          <t>稼働店舗数〔KPI6〕</t>
        </is>
      </c>
      <c r="B23" t="inlineStr">
        <is>
          <t>5月: 12/54店</t>
        </is>
      </c>
      <c r="C23" s="91" t="inlineStr">
        <is>
          <t>当月予約1件以上の店舗数。減少はAnyca型供給崩壊の早期警報（在庫表示率66%とセット監視）</t>
        </is>
      </c>
    </row>
    <row r="24">
      <c r="A24" t="inlineStr"/>
      <c r="B24" t="inlineStr"/>
      <c r="C24" s="91" t="inlineStr"/>
    </row>
    <row r="25">
      <c r="A25" s="83" t="inlineStr">
        <is>
          <t>【将来の第2柱・未稼働】</t>
        </is>
      </c>
      <c r="B25" t="inlineStr"/>
      <c r="C25" s="91" t="inlineStr"/>
    </row>
    <row r="26">
      <c r="A26" t="inlineStr">
        <is>
          <t>物販送客収益 = 完了予約 × 購入相談率 × 成約率 × 送客フィー</t>
        </is>
      </c>
      <c r="B26" t="inlineStr">
        <is>
          <t>¥0</t>
        </is>
      </c>
      <c r="C26" s="91" t="inlineStr">
        <is>
          <t>送客フィー¥9,000〜15,000/台 = レンタル6〜10件分</t>
        </is>
      </c>
    </row>
    <row r="27"/>
    <row r="28">
      <c r="A28" s="42" t="inlineStr">
        <is>
          <t>■ ノード別: 計測手段と対応する施策</t>
        </is>
      </c>
    </row>
    <row r="29">
      <c r="A29" s="38" t="inlineStr">
        <is>
          <t>ノード</t>
        </is>
      </c>
      <c r="B29" s="38" t="inlineStr">
        <is>
          <t>現在値（2026-05）</t>
        </is>
      </c>
      <c r="C29" s="38" t="inlineStr">
        <is>
          <t>計測手段 / 動かす施策</t>
        </is>
      </c>
    </row>
    <row r="30">
      <c r="A30" s="60" t="inlineStr">
        <is>
          <t>回収率 ★1 / KSF1</t>
        </is>
      </c>
      <c r="B30" s="60" t="inlineStr">
        <is>
          <t>4%</t>
        </is>
      </c>
      <c r="C30" s="59" t="inlineStr">
        <is>
          <t>Pay.jp入金 vs DB手数料 ／ オンライン決済のデフォルト化・必須化 or 月次請求オペ。過去分の扱いはクライアント判断</t>
        </is>
      </c>
    </row>
    <row r="31">
      <c r="A31" s="60" t="inlineStr">
        <is>
          <t>セッション数 ★2 / KSF2</t>
        </is>
      </c>
      <c r="B31" s="60" t="inlineStr">
        <is>
          <t>約700IP/月</t>
        </is>
      </c>
      <c r="C31" s="59" t="inlineStr">
        <is>
          <t>GA4「ユーザー数」（Phase 1・自動） ／ SEO Phase 1 → SEO LP → GBP → OTA → 広告スモークテスト</t>
        </is>
      </c>
    </row>
    <row r="32">
      <c r="A32" s="60" t="inlineStr">
        <is>
          <t>流入チャネル内訳</t>
        </is>
      </c>
      <c r="B32" s="60" t="inlineStr">
        <is>
          <t>未計測</t>
        </is>
      </c>
      <c r="C32" s="59" t="inlineStr">
        <is>
          <t>GA4 参照元/メディア ／ GA4設置が前提。2026-02のスパイク(1,603IP)の正体特定にも使う</t>
        </is>
      </c>
    </row>
    <row r="33">
      <c r="A33" s="60" t="inlineStr">
        <is>
          <t>予約CVR / KSF4</t>
        </is>
      </c>
      <c r="B33" s="60" t="inlineStr">
        <is>
          <t>約4%</t>
        </is>
      </c>
      <c r="C33" s="59" t="inlineStr">
        <is>
          <t>GA4「予約完了」CV÷セッション ／ Tier 1 UI群（検索バー・空き表示・料金明示・キャンセルポリシー）。回収率と流入が先</t>
        </is>
      </c>
    </row>
    <row r="34">
      <c r="A34" s="60" t="inlineStr">
        <is>
          <t>予約フロー離脱点</t>
        </is>
      </c>
      <c r="B34" s="60" t="inlineStr">
        <is>
          <t>未計測</t>
        </is>
      </c>
      <c r="C34" s="59" t="inlineStr">
        <is>
          <t>GA4「予約フローStep別」（Phase 2） ／ フォーム8項目以下・ゲスト予約</t>
        </is>
      </c>
    </row>
    <row r="35">
      <c r="A35" s="60" t="inlineStr">
        <is>
          <t>キャンセル率</t>
        </is>
      </c>
      <c r="B35" s="60" t="inlineStr">
        <is>
          <t>23%</t>
        </is>
      </c>
      <c r="C35" s="59" t="inlineStr">
        <is>
          <t>DB予約ステータス ／ 理由判明後に設計（悪天候ポリシー等）</t>
        </is>
      </c>
    </row>
    <row r="36">
      <c r="A36" s="60" t="inlineStr">
        <is>
          <t>平均予約単価</t>
        </is>
      </c>
      <c r="B36" s="60" t="inlineStr">
        <is>
          <t>約¥10,200</t>
        </is>
      </c>
      <c r="C36" s="59" t="inlineStr">
        <is>
          <t>DB（手数料÷15%） ／ 複数日・複数台レコメンド、E-Bike（在庫79台）の露出強化</t>
        </is>
      </c>
    </row>
    <row r="37">
      <c r="A37" s="60" t="inlineStr">
        <is>
          <t>手数料率</t>
        </is>
      </c>
      <c r="B37" s="60" t="inlineStr">
        <is>
          <t>15%</t>
        </is>
      </c>
      <c r="C37" s="59" t="inlineStr">
        <is>
          <t>DB・Pay.jp照合済み ／ 触らない（店舗負担が既に上限）</t>
        </is>
      </c>
    </row>
    <row r="38">
      <c r="A38" s="60" t="inlineStr">
        <is>
          <t>購入相談率</t>
        </is>
      </c>
      <c r="B38" s="60" t="inlineStr">
        <is>
          <t>未計測</t>
        </is>
      </c>
      <c r="C38" s="59" t="inlineStr">
        <is>
          <t>GA4「購入相談クリック」（Phase 3） ／ 試乗履歴つき購入相談予約（T3-5）</t>
        </is>
      </c>
    </row>
    <row r="39">
      <c r="A39" s="60" t="inlineStr">
        <is>
          <t>稼働店舗数 / KSF3</t>
        </is>
      </c>
      <c r="B39" s="60" t="inlineStr">
        <is>
          <t>12/54店</t>
        </is>
      </c>
      <c r="C39" s="59" t="inlineStr">
        <is>
          <t>DB予約の店舗ユニーク数/月 ／ 月次送客レポートメール先行実装・予約ゼロ店舗ヒアリング</t>
        </is>
      </c>
    </row>
    <row r="40">
      <c r="A40" s="60" t="inlineStr">
        <is>
          <t>店舗の在庫表示率</t>
        </is>
      </c>
      <c r="B40" s="60" t="inlineStr">
        <is>
          <t>66%（非表示125/369台）</t>
        </is>
      </c>
      <c r="C40" s="59" t="inlineStr">
        <is>
          <t>DB貸出ステータス ／ ヒアリングで非表示理由を確認→表示化サポート。供給側の即効打</t>
        </is>
      </c>
    </row>
    <row r="41"/>
    <row r="42">
      <c r="A42" s="42" t="inlineStr">
        <is>
          <t>■ 読み方: 今どこから手をつけるか</t>
        </is>
      </c>
    </row>
    <row r="43" ht="28" customHeight="1" s="31">
      <c r="A43" s="22" t="inlineStr">
        <is>
          <t>1. 回収率（★1/KSF1）が最優先 — 最後の掛け算が0.04なので上流をいくら改善しても実入金は増えない。KPI計画は8月から回収100%が前提で、遅れるとKGIもズレる</t>
        </is>
      </c>
    </row>
    <row r="44" ht="28" customHeight="1" s="31">
      <c r="A44" s="22" t="inlineStr">
        <is>
          <t>2. セッション数（★2/KSF2）が次 — CVR4%は健全なので流入を増やせば予約はほぼ比例。SEO Phase 1（無料・半日）から着火</t>
        </is>
      </c>
    </row>
    <row r="45" ht="28" customHeight="1" s="31">
      <c r="A45" s="22" t="inlineStr">
        <is>
          <t>3. CVR改善（UI群/KSF4）はGA4で離脱点が見えてから — 勘で作らない</t>
        </is>
      </c>
    </row>
    <row r="46" ht="28" customHeight="1" s="31">
      <c r="A46" s="22" t="inlineStr">
        <is>
          <t>4. 稼働店舗数（KSF3）は守り — 月次送客レポートで「待つ価値」を見せ続け、減少が始まったら最優先で対処</t>
        </is>
      </c>
    </row>
    <row r="47" ht="28" customHeight="1" s="31">
      <c r="A47" s="22" t="inlineStr">
        <is>
          <t>5. 物販送客は予約数が伸びてから効く第2柱 — 今は「購入相談クリック」の計測準備だけ仕込む</t>
        </is>
      </c>
    </row>
  </sheetData>
  <mergeCells count="6">
    <mergeCell ref="A44:C44"/>
    <mergeCell ref="A47:C47"/>
    <mergeCell ref="A45:C45"/>
    <mergeCell ref="A46:C46"/>
    <mergeCell ref="A3:C3"/>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34" customWidth="1" style="31" min="1" max="1"/>
    <col width="13" customWidth="1" style="31" min="2" max="2"/>
    <col width="13" customWidth="1" style="31" min="3" max="3"/>
    <col width="13" customWidth="1" style="31" min="4" max="4"/>
    <col width="13" customWidth="1" style="31" min="5" max="5"/>
    <col width="13" customWidth="1" style="31" min="6" max="6"/>
    <col width="13" customWidth="1" style="31" min="7" max="7"/>
    <col width="60" customWidth="1" style="31" min="8" max="8"/>
  </cols>
  <sheetData>
    <row r="1">
      <c r="A1" s="41" t="inlineStr">
        <is>
          <t>KPI計画（2026年下期・クライアント協議用の叩き台）</t>
        </is>
      </c>
    </row>
    <row r="2">
      <c r="A2" s="40" t="inlineStr">
        <is>
          <t>黄色=前提（変えると計画全体が自動で引き直される）/ 青=自動計算。確定したらKPI進捗シートの目標に自動反映される</t>
        </is>
      </c>
    </row>
    <row r="3"/>
    <row r="4">
      <c r="A4" s="83" t="inlineStr">
        <is>
          <t>■ 前提</t>
        </is>
      </c>
    </row>
    <row r="5">
      <c r="A5" s="60" t="inlineStr">
        <is>
          <t>月次成長率（完了予約）</t>
        </is>
      </c>
      <c r="B5" s="84" t="n">
        <v>0.2</v>
      </c>
      <c r="C5" s="85" t="inlineStr">
        <is>
          <t>実績は2ヶ月で倍（≒月+41%）。保守的に+20%で設定</t>
        </is>
      </c>
    </row>
    <row r="6">
      <c r="A6" s="60" t="inlineStr">
        <is>
          <t>完了÷実予約（キャンセル等を引いた率）</t>
        </is>
      </c>
      <c r="B6" s="84" t="n">
        <v>0.75</v>
      </c>
      <c r="C6" s="85" t="inlineStr">
        <is>
          <t>実績: 5月 21/28 = 75%</t>
        </is>
      </c>
    </row>
    <row r="7">
      <c r="A7" s="60" t="inlineStr">
        <is>
          <t>予約CVR（実予約÷セッション）</t>
        </is>
      </c>
      <c r="B7" s="69" t="n">
        <v>0.04</v>
      </c>
      <c r="C7" s="85" t="inlineStr">
        <is>
          <t>実績: 5月 約4%</t>
        </is>
      </c>
    </row>
    <row r="8">
      <c r="A8" s="60" t="inlineStr">
        <is>
          <t>取り分/件</t>
        </is>
      </c>
      <c r="B8" s="62" t="n">
        <v>1530</v>
      </c>
      <c r="C8" s="85" t="inlineStr">
        <is>
          <t>実績: 4〜5月の手数料平均</t>
        </is>
      </c>
    </row>
    <row r="9">
      <c r="A9" s="60" t="inlineStr">
        <is>
          <t>6月の完了予約 見込み</t>
        </is>
      </c>
      <c r="B9" s="66" t="n">
        <v>26</v>
      </c>
      <c r="C9" s="85" t="inlineStr">
        <is>
          <t>6/11時点で4件完了+来客待ち。5月21件×1.2で仮置き</t>
        </is>
      </c>
    </row>
    <row r="10"/>
    <row r="11"/>
    <row r="12">
      <c r="A12" s="83" t="inlineStr">
        <is>
          <t>■ 月次計画（7月〜12月）</t>
        </is>
      </c>
    </row>
    <row r="13">
      <c r="A13" s="38" t="inlineStr">
        <is>
          <t>指標</t>
        </is>
      </c>
      <c r="B13" s="38" t="inlineStr">
        <is>
          <t>2026-07</t>
        </is>
      </c>
      <c r="C13" s="38" t="inlineStr">
        <is>
          <t>2026-08</t>
        </is>
      </c>
      <c r="D13" s="38" t="inlineStr">
        <is>
          <t>2026-09</t>
        </is>
      </c>
      <c r="E13" s="38" t="inlineStr">
        <is>
          <t>2026-10</t>
        </is>
      </c>
      <c r="F13" s="38" t="inlineStr">
        <is>
          <t>2026-11</t>
        </is>
      </c>
      <c r="G13" s="38" t="inlineStr">
        <is>
          <t>2026-12</t>
        </is>
      </c>
    </row>
    <row r="14">
      <c r="A14" s="60" t="inlineStr">
        <is>
          <t>完了予約数〔KPI1〕</t>
        </is>
      </c>
      <c r="B14" s="65">
        <f>ROUND($B$9*(1+$B$5),0)</f>
        <v/>
      </c>
      <c r="C14" s="65">
        <f>ROUND(B14*(1+$B$5),0)</f>
        <v/>
      </c>
      <c r="D14" s="65">
        <f>ROUND(C14*(1+$B$5),0)</f>
        <v/>
      </c>
      <c r="E14" s="65">
        <f>ROUND(D14*(1+$B$5),0)</f>
        <v/>
      </c>
      <c r="F14" s="65">
        <f>ROUND(E14*(1+$B$5),0)</f>
        <v/>
      </c>
      <c r="G14" s="65">
        <f>ROUND(F14*(1+$B$5),0)</f>
        <v/>
      </c>
    </row>
    <row r="15">
      <c r="A15" s="60" t="inlineStr">
        <is>
          <t>実予約数（完了÷75%）</t>
        </is>
      </c>
      <c r="B15" s="65">
        <f>B14/$B$6</f>
        <v/>
      </c>
      <c r="C15" s="65">
        <f>C14/$B$6</f>
        <v/>
      </c>
      <c r="D15" s="65">
        <f>D14/$B$6</f>
        <v/>
      </c>
      <c r="E15" s="65">
        <f>E14/$B$6</f>
        <v/>
      </c>
      <c r="F15" s="65">
        <f>F14/$B$6</f>
        <v/>
      </c>
      <c r="G15" s="65">
        <f>G14/$B$6</f>
        <v/>
      </c>
    </row>
    <row r="16">
      <c r="A16" s="60" t="inlineStr">
        <is>
          <t>必要セッション数〔KPI3〕</t>
        </is>
      </c>
      <c r="B16" s="71">
        <f>ROUND(B15/$B$7,0)</f>
        <v/>
      </c>
      <c r="C16" s="71">
        <f>ROUND(C15/$B$7,0)</f>
        <v/>
      </c>
      <c r="D16" s="71">
        <f>ROUND(D15/$B$7,0)</f>
        <v/>
      </c>
      <c r="E16" s="71">
        <f>ROUND(E15/$B$7,0)</f>
        <v/>
      </c>
      <c r="F16" s="71">
        <f>ROUND(F15/$B$7,0)</f>
        <v/>
      </c>
      <c r="G16" s="71">
        <f>ROUND(G15/$B$7,0)</f>
        <v/>
      </c>
    </row>
    <row r="17">
      <c r="A17" s="60" t="inlineStr">
        <is>
          <t>うちOrganic Search（目安・手置き）〔KPI4〕</t>
        </is>
      </c>
      <c r="B17" s="72" t="n">
        <v>30</v>
      </c>
      <c r="C17" s="72" t="n">
        <v>60</v>
      </c>
      <c r="D17" s="72" t="n">
        <v>120</v>
      </c>
      <c r="E17" s="72" t="n">
        <v>250</v>
      </c>
      <c r="F17" s="72" t="n">
        <v>400</v>
      </c>
      <c r="G17" s="72" t="n">
        <v>600</v>
      </c>
    </row>
    <row r="18">
      <c r="A18" s="60" t="inlineStr">
        <is>
          <t>回収率〔KPI2〕</t>
        </is>
      </c>
      <c r="B18" s="84" t="n">
        <v>0.5</v>
      </c>
      <c r="C18" s="84" t="n">
        <v>1</v>
      </c>
      <c r="D18" s="84" t="n">
        <v>1</v>
      </c>
      <c r="E18" s="84" t="n">
        <v>1</v>
      </c>
      <c r="F18" s="84" t="n">
        <v>1</v>
      </c>
      <c r="G18" s="84" t="n">
        <v>1</v>
      </c>
      <c r="H18" s="85" t="inlineStr">
        <is>
          <t>7月=移行期（回収方式の意思決定と移行）、8月から全額回収の想定</t>
        </is>
      </c>
    </row>
    <row r="19">
      <c r="A19" s="39" t="inlineStr">
        <is>
          <t>【KGI】月間実入金</t>
        </is>
      </c>
      <c r="B19" s="86">
        <f>B14*$B$8*B18</f>
        <v/>
      </c>
      <c r="C19" s="86">
        <f>C14*$B$8*C18</f>
        <v/>
      </c>
      <c r="D19" s="86">
        <f>D14*$B$8*D18</f>
        <v/>
      </c>
      <c r="E19" s="86">
        <f>E14*$B$8*E18</f>
        <v/>
      </c>
      <c r="F19" s="86">
        <f>F14*$B$8*F18</f>
        <v/>
      </c>
      <c r="G19" s="86">
        <f>G14*$B$8*G18</f>
        <v/>
      </c>
    </row>
    <row r="20">
      <c r="A20" s="60" t="inlineStr">
        <is>
          <t>（参考）GMV</t>
        </is>
      </c>
      <c r="B20" s="61">
        <f>B14*$B$8/0.15</f>
        <v/>
      </c>
      <c r="C20" s="61">
        <f>C14*$B$8/0.15</f>
        <v/>
      </c>
      <c r="D20" s="61">
        <f>D14*$B$8/0.15</f>
        <v/>
      </c>
      <c r="E20" s="61">
        <f>E14*$B$8/0.15</f>
        <v/>
      </c>
      <c r="F20" s="61">
        <f>F14*$B$8/0.15</f>
        <v/>
      </c>
      <c r="G20" s="61">
        <f>G14*$B$8/0.15</f>
        <v/>
      </c>
    </row>
    <row r="21">
      <c r="A21" s="60" t="inlineStr">
        <is>
          <t>稼働店舗数〔KPI6〕</t>
        </is>
      </c>
      <c r="B21" s="75" t="n">
        <v>14</v>
      </c>
      <c r="C21" s="75" t="n">
        <v>16</v>
      </c>
      <c r="D21" s="75" t="n">
        <v>18</v>
      </c>
      <c r="E21" s="75" t="n">
        <v>20</v>
      </c>
      <c r="F21" s="75" t="n">
        <v>22</v>
      </c>
      <c r="G21" s="75" t="n">
        <v>25</v>
      </c>
    </row>
    <row r="22"/>
    <row r="23">
      <c r="A23" s="60" t="inlineStr">
        <is>
          <t>損益分岐ライン（コスト棚卸しの固定費合計）</t>
        </is>
      </c>
      <c r="B23" s="61">
        <f>コスト棚卸し!$C$13</f>
        <v/>
      </c>
      <c r="C23" s="61">
        <f>コスト棚卸し!$C$13</f>
        <v/>
      </c>
      <c r="D23" s="61">
        <f>コスト棚卸し!$C$13</f>
        <v/>
      </c>
      <c r="E23" s="61">
        <f>コスト棚卸し!$C$13</f>
        <v/>
      </c>
      <c r="F23" s="61">
        <f>コスト棚卸し!$C$13</f>
        <v/>
      </c>
      <c r="G23" s="61">
        <f>コスト棚卸し!$C$13</f>
        <v/>
      </c>
    </row>
    <row r="24">
      <c r="A24" s="60" t="inlineStr">
        <is>
          <t>判定（実入金≧固定費？）</t>
        </is>
      </c>
      <c r="B24" s="87">
        <f>IF(B19&gt;=B23,"クリア","")</f>
        <v/>
      </c>
      <c r="C24" s="87">
        <f>IF(C19&gt;=C23,"クリア","")</f>
        <v/>
      </c>
      <c r="D24" s="87">
        <f>IF(D19&gt;=D23,"クリア","")</f>
        <v/>
      </c>
      <c r="E24" s="87">
        <f>IF(E19&gt;=E23,"クリア","")</f>
        <v/>
      </c>
      <c r="F24" s="87">
        <f>IF(F19&gt;=F23,"クリア","")</f>
        <v/>
      </c>
      <c r="G24" s="87">
        <f>IF(G19&gt;=G23,"クリア","")</f>
        <v/>
      </c>
    </row>
    <row r="25"/>
    <row r="26">
      <c r="A26" s="83" t="inlineStr">
        <is>
          <t>■ KGI案の言葉での要約</t>
        </is>
      </c>
    </row>
    <row r="27" ht="45" customHeight="1" s="31">
      <c r="A27" s="22" t="inlineStr">
        <is>
          <t>「2026年12月に月間実入金¥120,000（中間マイルストーン: 10月に損益分岐クリア）」。前提は保守的成長+20%/月と8月からの全額回収。クライアントと協議の上、成長率・回収開始月のセル（黄色）を直して確定させる。確定後はこの数字がKPI進捗シートの目標に自動で入る</t>
        </is>
      </c>
    </row>
    <row r="28"/>
    <row r="29" ht="40" customHeight="1" s="31">
      <c r="A29" s="88" t="inlineStr">
        <is>
          <t>⚠ クライアントと目標を確定したら: KPI進捗シートの目標列（計画へのリンク）をコピー→「値として貼り付け」で固定すること。固定後はこのシートをいじっても過去の目標は動かなくなる（このシートは来期計画の検討用として残す）</t>
        </is>
      </c>
    </row>
    <row r="30"/>
    <row r="31" ht="55" customHeight="1" s="31">
      <c r="A31" s="88" t="inlineStr">
        <is>
          <t>⚠ この計画の最大の前提: 「店頭決済の手数料は現在回収できていない」（確認リスト#1の答え待ち）。もしクライアントが『システム外（銀行振込等）で回収済み』と回答した場合 → 回収率の行を100%に修正し、KGIの定義を「Pay.jp入金+銀行振込」に変更、KSF1は「回収の見える化」に差し替え。その場合5月実入金は実質¥32,175となり、目標は上方修正になる</t>
        </is>
      </c>
    </row>
  </sheetData>
  <mergeCells count="3">
    <mergeCell ref="A27:G27"/>
    <mergeCell ref="A31:G31"/>
    <mergeCell ref="A29:G29"/>
  </mergeCells>
  <conditionalFormatting sqref="B24:G24">
    <cfRule type="cellIs" priority="1" operator="equal" dxfId="0">
      <formula>"クリア"</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cols>
    <col width="30" customWidth="1" style="31" min="1" max="1"/>
    <col width="34" customWidth="1" style="31" min="2" max="2"/>
    <col width="30" customWidth="1" style="31" min="3" max="3"/>
    <col width="14" customWidth="1" style="31" min="4" max="4"/>
    <col width="12" customWidth="1" style="31" min="5" max="5"/>
    <col width="12" customWidth="1" style="31" min="6" max="6"/>
    <col width="10" customWidth="1" style="31" min="7" max="7"/>
    <col width="12" customWidth="1" style="31" min="8" max="8"/>
    <col width="12" customWidth="1" style="31" min="9" max="9"/>
    <col width="10" customWidth="1" style="31" min="10" max="10"/>
  </cols>
  <sheetData>
    <row r="1">
      <c r="A1" s="41" t="inlineStr">
        <is>
          <t>KPI進捗管理</t>
        </is>
      </c>
    </row>
    <row r="2">
      <c r="A2" s="40" t="inlineStr">
        <is>
          <t>月1回更新（DBエクスポート+Pay.jp、所要15分）。目標は「KPI計画」シートから自動反映（青）。実績を入れると達成率が自動色分け</t>
        </is>
      </c>
    </row>
    <row r="3">
      <c r="E3" s="57" t="inlineStr">
        <is>
          <t>※6月は6/11時点</t>
        </is>
      </c>
    </row>
    <row r="4">
      <c r="A4" s="58" t="inlineStr">
        <is>
          <t>指標</t>
        </is>
      </c>
      <c r="B4" s="58" t="inlineStr">
        <is>
          <t>毎月どこから取るか</t>
        </is>
      </c>
      <c r="C4" s="58" t="inlineStr"/>
      <c r="D4" s="58" t="inlineStr">
        <is>
          <t>2026-05 実績</t>
        </is>
      </c>
      <c r="E4" s="58" t="inlineStr">
        <is>
          <t>2026-06 実績</t>
        </is>
      </c>
      <c r="F4" s="58" t="inlineStr">
        <is>
          <t>2026-07</t>
        </is>
      </c>
      <c r="G4" s="80" t="n"/>
      <c r="H4" s="81" t="n"/>
      <c r="I4" s="58" t="inlineStr">
        <is>
          <t>2026-08</t>
        </is>
      </c>
      <c r="J4" s="80" t="n"/>
      <c r="K4" s="81" t="n"/>
    </row>
    <row r="5">
      <c r="A5" s="82" t="n"/>
      <c r="B5" s="82" t="n"/>
      <c r="C5" s="82" t="n"/>
      <c r="D5" s="82" t="n"/>
      <c r="E5" s="82" t="n"/>
      <c r="F5" s="58" t="inlineStr">
        <is>
          <t>目標</t>
        </is>
      </c>
      <c r="G5" s="58" t="inlineStr">
        <is>
          <t>実績</t>
        </is>
      </c>
      <c r="H5" s="58" t="inlineStr">
        <is>
          <t>達成率</t>
        </is>
      </c>
      <c r="I5" s="58" t="inlineStr">
        <is>
          <t>目標</t>
        </is>
      </c>
      <c r="J5" s="58" t="inlineStr">
        <is>
          <t>実績</t>
        </is>
      </c>
      <c r="K5" s="58" t="inlineStr">
        <is>
          <t>達成率</t>
        </is>
      </c>
    </row>
    <row r="6">
      <c r="A6" s="39" t="inlineStr">
        <is>
          <t>【KGI】月間手数料収益（実入金）</t>
        </is>
      </c>
      <c r="B6" s="59" t="inlineStr">
        <is>
          <t>Pay.jp入金一覧の当月内訳</t>
        </is>
      </c>
      <c r="C6" s="60" t="n"/>
      <c r="D6" s="61" t="n">
        <v>1320</v>
      </c>
      <c r="E6" s="61" t="inlineStr">
        <is>
          <t>—</t>
        </is>
      </c>
      <c r="F6" s="62" t="n"/>
      <c r="G6" s="61">
        <f>KPI計画!B19</f>
        <v/>
      </c>
      <c r="H6" s="64">
        <f>IF(OR(F6="",G6=""),"",G6/F6)</f>
        <v/>
      </c>
      <c r="I6" s="61">
        <f>KPI計画!C19</f>
        <v/>
      </c>
      <c r="J6" s="63" t="n"/>
      <c r="K6" s="64">
        <f>IF(OR(I6="",J6=""),"",J6/I6)</f>
        <v/>
      </c>
    </row>
    <row r="7">
      <c r="A7" s="60" t="inlineStr">
        <is>
          <t>KPI1 完了予約数</t>
        </is>
      </c>
      <c r="B7" s="59" t="inlineStr">
        <is>
          <t>reserve.csv（ステータス=返却済み）</t>
        </is>
      </c>
      <c r="C7" s="60" t="n"/>
      <c r="D7" s="65" t="n">
        <v>21</v>
      </c>
      <c r="E7" s="65" t="n">
        <v>4</v>
      </c>
      <c r="F7" s="66" t="n"/>
      <c r="G7" s="65">
        <f>KPI計画!B14</f>
        <v/>
      </c>
      <c r="H7" s="64">
        <f>IF(OR(F7="",G7=""),"",G7/F7)</f>
        <v/>
      </c>
      <c r="I7" s="65">
        <f>KPI計画!C14</f>
        <v/>
      </c>
      <c r="J7" s="67" t="n"/>
      <c r="K7" s="64">
        <f>IF(OR(I7="",J7=""),"",J7/I7)</f>
        <v/>
      </c>
    </row>
    <row r="8">
      <c r="A8" s="60" t="inlineStr">
        <is>
          <t>KPI2 回収率（実入金÷手数料記録）</t>
        </is>
      </c>
      <c r="B8" s="59" t="inlineStr">
        <is>
          <t>KGI ÷ reserve.csvの手数料合計</t>
        </is>
      </c>
      <c r="C8" s="60" t="n"/>
      <c r="D8" s="68" t="n">
        <v>0.0410252585057482</v>
      </c>
      <c r="E8" s="68" t="inlineStr">
        <is>
          <t>—</t>
        </is>
      </c>
      <c r="F8" s="69" t="n"/>
      <c r="G8" s="68">
        <f>KPI計画!B18</f>
        <v/>
      </c>
      <c r="H8" s="64">
        <f>IF(OR(F8="",G8=""),"",G8/F8)</f>
        <v/>
      </c>
      <c r="I8" s="68">
        <f>KPI計画!C18</f>
        <v/>
      </c>
      <c r="J8" s="70" t="n"/>
      <c r="K8" s="64">
        <f>IF(OR(I8="",J8=""),"",J8/I8)</f>
        <v/>
      </c>
    </row>
    <row r="9">
      <c r="A9" s="60" t="inlineStr">
        <is>
          <t>KPI3 月間セッション</t>
        </is>
      </c>
      <c r="B9" s="59" t="inlineStr">
        <is>
          <t>access-logs.csvのユニークIP → GA4設置後は「ユーザー数」</t>
        </is>
      </c>
      <c r="C9" s="60" t="n"/>
      <c r="D9" s="71" t="n">
        <v>702</v>
      </c>
      <c r="E9" s="71" t="inlineStr">
        <is>
          <t>—</t>
        </is>
      </c>
      <c r="F9" s="72" t="n"/>
      <c r="G9" s="71">
        <f>KPI計画!B16</f>
        <v/>
      </c>
      <c r="H9" s="64">
        <f>IF(OR(F9="",G9=""),"",G9/F9)</f>
        <v/>
      </c>
      <c r="I9" s="71">
        <f>KPI計画!C16</f>
        <v/>
      </c>
      <c r="J9" s="73" t="n"/>
      <c r="K9" s="64">
        <f>IF(OR(I9="",J9=""),"",J9/I9)</f>
        <v/>
      </c>
    </row>
    <row r="10">
      <c r="A10" s="60" t="inlineStr">
        <is>
          <t>KPI4 Organic Search流入</t>
        </is>
      </c>
      <c r="B10" s="59" t="inlineStr">
        <is>
          <t>GA4 集客レポート（Phase 1設置後に計測開始）</t>
        </is>
      </c>
      <c r="C10" s="60" t="n"/>
      <c r="D10" s="71" t="inlineStr">
        <is>
          <t>—</t>
        </is>
      </c>
      <c r="E10" s="71" t="inlineStr">
        <is>
          <t>—</t>
        </is>
      </c>
      <c r="F10" s="72" t="n"/>
      <c r="G10" s="71">
        <f>KPI計画!B17</f>
        <v/>
      </c>
      <c r="H10" s="64">
        <f>IF(OR(F10="",G10=""),"",G10/F10)</f>
        <v/>
      </c>
      <c r="I10" s="71">
        <f>KPI計画!C17</f>
        <v/>
      </c>
      <c r="J10" s="73" t="n"/>
      <c r="K10" s="64">
        <f>IF(OR(I10="",J10=""),"",J10/I10)</f>
        <v/>
      </c>
    </row>
    <row r="11">
      <c r="A11" s="60" t="inlineStr">
        <is>
          <t>KPI5 予約CVR（実予約÷セッション）</t>
        </is>
      </c>
      <c r="B11" s="59" t="inlineStr">
        <is>
          <t>reserve.csv実予約 ÷ KPI3</t>
        </is>
      </c>
      <c r="C11" s="60" t="n"/>
      <c r="D11" s="68" t="n">
        <v>0.03988603988603989</v>
      </c>
      <c r="E11" s="68" t="inlineStr">
        <is>
          <t>—</t>
        </is>
      </c>
      <c r="F11" s="69" t="n"/>
      <c r="G11" s="68" t="n">
        <v>0.04</v>
      </c>
      <c r="H11" s="64">
        <f>IF(OR(F11="",G11=""),"",G11/F11)</f>
        <v/>
      </c>
      <c r="I11" s="68" t="n">
        <v>0.04</v>
      </c>
      <c r="J11" s="70" t="n"/>
      <c r="K11" s="64">
        <f>IF(OR(I11="",J11=""),"",J11/I11)</f>
        <v/>
      </c>
    </row>
    <row r="12">
      <c r="A12" s="60" t="inlineStr">
        <is>
          <t>KPI6 稼働店舗数（当月予約あり）</t>
        </is>
      </c>
      <c r="B12" s="59" t="inlineStr">
        <is>
          <t>reserve.csvの店舗ユニーク数</t>
        </is>
      </c>
      <c r="C12" s="60" t="n"/>
      <c r="D12" s="74" t="n">
        <v>12</v>
      </c>
      <c r="E12" s="74" t="n">
        <v>5</v>
      </c>
      <c r="F12" s="75" t="n"/>
      <c r="G12" s="74">
        <f>KPI計画!B21</f>
        <v/>
      </c>
      <c r="H12" s="64">
        <f>IF(OR(F12="",G12=""),"",G12/F12)</f>
        <v/>
      </c>
      <c r="I12" s="74">
        <f>KPI計画!C21</f>
        <v/>
      </c>
      <c r="J12" s="76" t="n"/>
      <c r="K12" s="64">
        <f>IF(OR(I12="",J12=""),"",J12/I12)</f>
        <v/>
      </c>
    </row>
    <row r="13">
      <c r="A13" s="60" t="inlineStr">
        <is>
          <t>（参考）GMV</t>
        </is>
      </c>
      <c r="B13" s="59" t="inlineStr">
        <is>
          <t>reserve.csv手数料合計 ÷ 15%</t>
        </is>
      </c>
      <c r="C13" s="60" t="n"/>
      <c r="D13" s="61" t="n">
        <v>214502</v>
      </c>
      <c r="E13" s="61" t="n">
        <v>102750</v>
      </c>
      <c r="F13" s="62" t="n"/>
      <c r="G13" s="61">
        <f>KPI計画!B20</f>
        <v/>
      </c>
      <c r="H13" s="64">
        <f>IF(OR(F13="",G13=""),"",G13/F13)</f>
        <v/>
      </c>
      <c r="I13" s="61">
        <f>KPI計画!C20</f>
        <v/>
      </c>
      <c r="J13" s="63" t="n"/>
      <c r="K13" s="64">
        <f>IF(OR(I13="",J13=""),"",J13/I13)</f>
        <v/>
      </c>
    </row>
    <row r="14">
      <c r="A14" s="60" t="inlineStr">
        <is>
          <t>（参考）キャンセル率</t>
        </is>
      </c>
      <c r="B14" s="59" t="inlineStr">
        <is>
          <t>reserve.csv（キャンセル÷実予約）</t>
        </is>
      </c>
      <c r="C14" s="60" t="n"/>
      <c r="D14" s="68" t="n">
        <v>0.1785714285714286</v>
      </c>
      <c r="E14" s="68" t="inlineStr">
        <is>
          <t>—</t>
        </is>
      </c>
      <c r="F14" s="69" t="n"/>
      <c r="G14" s="70" t="n"/>
      <c r="H14" s="64">
        <f>IF(OR(F14="",G14=""),"",G14/F14)</f>
        <v/>
      </c>
      <c r="I14" s="69" t="n"/>
      <c r="J14" s="70" t="n"/>
      <c r="K14" s="64">
        <f>IF(OR(I14="",J14=""),"",J14/I14)</f>
        <v/>
      </c>
    </row>
    <row r="15">
      <c r="A15" s="60" t="inlineStr">
        <is>
          <t>（参考）新規利用者登録</t>
        </is>
      </c>
      <c r="B15" s="59" t="inlineStr">
        <is>
          <t>users.csv（当月のCreation Date）</t>
        </is>
      </c>
      <c r="C15" s="60" t="n"/>
      <c r="D15" s="77" t="n">
        <v>26</v>
      </c>
      <c r="E15" s="77" t="inlineStr">
        <is>
          <t>—</t>
        </is>
      </c>
      <c r="F15" s="78" t="n"/>
      <c r="G15" s="79" t="n"/>
      <c r="H15" s="64">
        <f>IF(OR(F15="",G15=""),"",G15/F15)</f>
        <v/>
      </c>
      <c r="I15" s="78" t="n"/>
      <c r="J15" s="79" t="n"/>
      <c r="K15" s="64">
        <f>IF(OR(I15="",J15=""),"",J15/I15)</f>
        <v/>
      </c>
    </row>
    <row r="16"/>
    <row r="17">
      <c r="A17" s="40" t="inlineStr">
        <is>
          <t>9月以降の列は8月の3列（目標/実績/達成率）をコピーして右に足す。KPI4はGA4設置後に「—」を実数に置き換える</t>
        </is>
      </c>
    </row>
    <row r="18"/>
    <row r="19">
      <c r="A19" s="42" t="inlineStr">
        <is>
          <t>■ なぜKGIが「月間手数料収益（実入金）」なのか</t>
        </is>
      </c>
    </row>
    <row r="20" ht="42" customHeight="1" s="31">
      <c r="A20" s="39" t="inlineStr">
        <is>
          <t>採用: 実入金</t>
        </is>
      </c>
      <c r="B20" s="35" t="inlineStr">
        <is>
          <t>実入金 = GMV × 手数料率15% × 回収率 の最終結果。今のRINCLEの2大ボトルネック（回収率4%・流入700IP/月）の両方を改善しないと動かない数字なので、これを最終目標に置くと努力の漏れがなくなる</t>
        </is>
      </c>
      <c r="C20" s="80" t="n"/>
      <c r="D20" s="80" t="n"/>
      <c r="E20" s="80" t="n"/>
      <c r="F20" s="80" t="n"/>
      <c r="G20" s="80" t="n"/>
      <c r="H20" s="81" t="n"/>
    </row>
    <row r="21" ht="42" customHeight="1" s="31">
      <c r="A21" s="39" t="inlineStr">
        <is>
          <t>不採用: 完了予約数</t>
        </is>
      </c>
      <c r="B21" s="35" t="inlineStr">
        <is>
          <t>予約が増えても手数料を回収できていなければ売上ゼロのまま増える。実際に8ヶ月で予約70件・実入金¥8,690という「予約はあるのにお金がない」状態が起きた。KPI1として並走</t>
        </is>
      </c>
      <c r="C21" s="80" t="n"/>
      <c r="D21" s="80" t="n"/>
      <c r="E21" s="80" t="n"/>
      <c r="F21" s="80" t="n"/>
      <c r="G21" s="80" t="n"/>
      <c r="H21" s="81" t="n"/>
    </row>
    <row r="22" ht="42" customHeight="1" s="31">
      <c r="A22" s="39" t="inlineStr">
        <is>
          <t>不採用: GMV（流通総額）</t>
        </is>
      </c>
      <c r="B22" s="35" t="inlineStr">
        <is>
          <t>マーケットプレイスの定番指標だが「お客さんが払ったお金の合計」であって「RINCLEに入ったお金」ではない。回収問題がある今はKGIに不適。参考指標として並走</t>
        </is>
      </c>
      <c r="C22" s="80" t="n"/>
      <c r="D22" s="80" t="n"/>
      <c r="E22" s="80" t="n"/>
      <c r="F22" s="80" t="n"/>
      <c r="G22" s="80" t="n"/>
      <c r="H22" s="81" t="n"/>
    </row>
    <row r="23" ht="42" customHeight="1" s="31">
      <c r="A23" s="39" t="inlineStr">
        <is>
          <t>将来の見直し条件</t>
        </is>
      </c>
      <c r="B23" s="35" t="inlineStr">
        <is>
          <t>回収問題が解決して回収率が安定的に100%になったら、実入金はGMV×15%と同じ意味になる。その時点でKGIをGMVに切り替えてよい（プラットフォームの成長そのものを追う段階に移行）</t>
        </is>
      </c>
      <c r="C23" s="80" t="n"/>
      <c r="D23" s="80" t="n"/>
      <c r="E23" s="80" t="n"/>
      <c r="F23" s="80" t="n"/>
      <c r="G23" s="80" t="n"/>
      <c r="H23" s="81" t="n"/>
    </row>
    <row r="24">
      <c r="A24" s="40" t="inlineStr">
        <is>
          <t>決定日: 2026-06-11（候補3案の比較から選定）</t>
        </is>
      </c>
    </row>
    <row r="25"/>
    <row r="26">
      <c r="A26" s="42" t="inlineStr">
        <is>
          <t>■ KGI → KSF → KPI の対応（なぜこの6個を測るのか）</t>
        </is>
      </c>
    </row>
    <row r="27">
      <c r="A27" s="38" t="inlineStr">
        <is>
          <t>KSF（成功のカギ・言葉）</t>
        </is>
      </c>
      <c r="B27" s="38" t="inlineStr">
        <is>
          <t>なぜカギなのか</t>
        </is>
      </c>
      <c r="C27" s="38" t="inlineStr">
        <is>
          <t>測るKPI</t>
        </is>
      </c>
    </row>
    <row r="28" ht="48" customHeight="1" s="31">
      <c r="A28" s="89" t="inlineStr">
        <is>
          <t>KSF1: 手数料を確実に回収する仕組みを作る</t>
        </is>
      </c>
      <c r="B28" s="59" t="inlineStr">
        <is>
          <t>売上の88%（店頭決済分）が回収されずに消えている。ここを塞がない限り、予約が何倍になっても実入金はほぼ増えない</t>
        </is>
      </c>
      <c r="C28" s="35" t="inlineStr">
        <is>
          <t>KPI2 回収率</t>
        </is>
      </c>
    </row>
    <row r="29" ht="48" customHeight="1" s="31">
      <c r="A29" s="89" t="inlineStr">
        <is>
          <t>KSF2: サイトに人を連れてくる（SEO・店舗経由・OTA）</t>
        </is>
      </c>
      <c r="B29" s="59" t="inlineStr">
        <is>
          <t>CVR4%は健全なので、流入さえ増えれば予約はほぼ比例して増える構造。12月に必要なセッションは現在の3.7倍（2,567）</t>
        </is>
      </c>
      <c r="C29" s="35" t="inlineStr">
        <is>
          <t>KPI3 セッション / KPI4 Organic流入</t>
        </is>
      </c>
    </row>
    <row r="30" ht="48" customHeight="1" s="31">
      <c r="A30" s="89" t="inlineStr">
        <is>
          <t>KSF3: 店舗網を死なせない（待っている52店の維持・活性化）</t>
        </is>
      </c>
      <c r="B30" s="59" t="inlineStr">
        <is>
          <t>42店は当月予約ゼロが常態。離脱が始まると供給網ごと崩壊する（Anycaの教訓）。月次送客レポートと非表示在庫の解消で「待つ価値」を見せ続ける</t>
        </is>
      </c>
      <c r="C30" s="35" t="inlineStr">
        <is>
          <t>KPI6 稼働店舗数</t>
        </is>
      </c>
    </row>
    <row r="31" ht="48" customHeight="1" s="31">
      <c r="A31" s="89" t="inlineStr">
        <is>
          <t>KSF4: 予約体験の質を落とさない</t>
        </is>
      </c>
      <c r="B31" s="59" t="inlineStr">
        <is>
          <t>成長の前提条件。CVRが下がると流入を増やしても無駄になる（攻めではなく守りのKSF）</t>
        </is>
      </c>
      <c r="C31" s="35" t="inlineStr">
        <is>
          <t>KPI5 予約CVR / KPI1 完了予約数</t>
        </is>
      </c>
    </row>
    <row r="32">
      <c r="A32" s="40" t="inlineStr">
        <is>
          <t>※ KPI1（完了予約数）はKSF2〜4すべての結果として動く「結果指標」。KSFの詳しい分解は「KPIツリー」シートを参照</t>
        </is>
      </c>
    </row>
  </sheetData>
  <mergeCells count="11">
    <mergeCell ref="B22:H22"/>
    <mergeCell ref="B4:B5"/>
    <mergeCell ref="C4:C5"/>
    <mergeCell ref="A4:A5"/>
    <mergeCell ref="B21:H21"/>
    <mergeCell ref="E4:E5"/>
    <mergeCell ref="D4:D5"/>
    <mergeCell ref="F4:H4"/>
    <mergeCell ref="I4:K4"/>
    <mergeCell ref="B20:H20"/>
    <mergeCell ref="B23:H23"/>
  </mergeCells>
  <conditionalFormatting sqref="H6:H15">
    <cfRule type="cellIs" priority="1" operator="greaterThanOrEqual" dxfId="0">
      <formula>1</formula>
    </cfRule>
    <cfRule type="cellIs" priority="2" operator="between" dxfId="1">
      <formula>0.7</formula>
      <formula>0.9999</formula>
    </cfRule>
    <cfRule type="cellIs" priority="3" operator="lessThan" dxfId="2">
      <formula>0.7</formula>
    </cfRule>
  </conditionalFormatting>
  <conditionalFormatting sqref="K6:K15">
    <cfRule type="cellIs" priority="4" operator="greaterThanOrEqual" dxfId="0">
      <formula>1</formula>
    </cfRule>
    <cfRule type="cellIs" priority="5" operator="between" dxfId="1">
      <formula>0.7</formula>
      <formula>0.9999</formula>
    </cfRule>
    <cfRule type="cellIs" priority="6" operator="lessThan" dxfId="2">
      <formula>0.7</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style="31" min="1" max="1"/>
    <col width="30" customWidth="1" style="31" min="2" max="2"/>
    <col width="56" customWidth="1" style="31" min="3" max="3"/>
  </cols>
  <sheetData>
    <row r="1">
      <c r="A1" s="41" t="inlineStr">
        <is>
          <t>需給バランス（2026-06-11 全テーブル解析）</t>
        </is>
      </c>
    </row>
    <row r="2">
      <c r="A2" s="40" t="inlineStr">
        <is>
          <t>分析日: 2026-06-11（本番データ）。出典・検証経緯は「出典と経緯」シート参照</t>
        </is>
      </c>
    </row>
    <row r="3"/>
    <row r="4">
      <c r="A4" s="42" t="inlineStr">
        <is>
          <t>■ 供給側: 思ったより整っている</t>
        </is>
      </c>
    </row>
    <row r="5">
      <c r="A5" s="38" t="inlineStr">
        <is>
          <t>指標</t>
        </is>
      </c>
      <c r="B5" s="38" t="inlineStr">
        <is>
          <t>値</t>
        </is>
      </c>
      <c r="C5" s="38" t="inlineStr">
        <is>
          <t>備考</t>
        </is>
      </c>
    </row>
    <row r="6">
      <c r="A6" s="35" t="inlineStr">
        <is>
          <t>自転車登録</t>
        </is>
      </c>
      <c r="B6" s="35" t="inlineStr">
        <is>
          <t>369台</t>
        </is>
      </c>
      <c r="C6" s="35" t="inlineStr">
        <is>
          <t>ロード167 / ミニベロ103 / クロス74 / MTB20 / キッズ5。E-Bike 79台</t>
        </is>
      </c>
    </row>
    <row r="7">
      <c r="A7" s="35" t="inlineStr">
        <is>
          <t>自転車を登録済みの店舗</t>
        </is>
      </c>
      <c r="B7" s="35" t="inlineStr">
        <is>
          <t>50/54店</t>
        </is>
      </c>
      <c r="C7" s="35" t="inlineStr">
        <is>
          <t>ゼロは4店のみ（うち3店は店名に「準備中」明記）</t>
        </is>
      </c>
    </row>
    <row r="8">
      <c r="A8" s="35" t="inlineStr">
        <is>
          <t>Pay.jp審査通過（カード決済可）</t>
        </is>
      </c>
      <c r="B8" s="35" t="inlineStr">
        <is>
          <t>54/54店（全店）</t>
        </is>
      </c>
      <c r="C8" s="35" t="inlineStr"/>
    </row>
    <row r="9">
      <c r="A9" s="35" t="inlineStr">
        <is>
          <t>「ユーザー非表示」の自転車</t>
        </is>
      </c>
      <c r="B9" s="35" t="inlineStr">
        <is>
          <t>125台（34%）</t>
        </is>
      </c>
      <c r="C9" s="35" t="inlineStr">
        <is>
          <t>予約ゼロ店舗では在庫の52%が非表示。理由はヒアリングで確認</t>
        </is>
      </c>
    </row>
    <row r="10"/>
    <row r="11">
      <c r="A11" s="42" t="inlineStr">
        <is>
          <t>■ 需要側: 明確にここがボトルネック</t>
        </is>
      </c>
    </row>
    <row r="12">
      <c r="A12" s="38" t="inlineStr">
        <is>
          <t>指標</t>
        </is>
      </c>
      <c r="B12" s="38" t="inlineStr">
        <is>
          <t>値</t>
        </is>
      </c>
      <c r="C12" s="38" t="inlineStr">
        <is>
          <t>備考</t>
        </is>
      </c>
    </row>
    <row r="13">
      <c r="A13" s="35" t="inlineStr">
        <is>
          <t>利用者登録</t>
        </is>
      </c>
      <c r="B13" s="35" t="inlineStr">
        <is>
          <t>91人</t>
        </is>
      </c>
      <c r="C13" s="35" t="inlineStr">
        <is>
          <t>2月15 → 3月16 → 4月18 → 5月26人と加速中</t>
        </is>
      </c>
    </row>
    <row r="14">
      <c r="A14" s="35" t="inlineStr">
        <is>
          <t>サイトアクセス</t>
        </is>
      </c>
      <c r="B14" s="35" t="inlineStr">
        <is>
          <t>月2,300PV / 約700IP（2026-05）</t>
        </is>
      </c>
      <c r="C14" s="35" t="inlineStr">
        <is>
          <t>2026-02に異常スパイク（3,402PV/1,603IP）あり、要因確認</t>
        </is>
      </c>
    </row>
    <row r="15">
      <c r="A15" s="35" t="inlineStr">
        <is>
          <t>粗いCVR</t>
        </is>
      </c>
      <c r="B15" s="35" t="inlineStr">
        <is>
          <t>約4%（700IP→実予約28件）</t>
        </is>
      </c>
      <c r="C15" s="35" t="inlineStr">
        <is>
          <t>悪くない水準。問題は分子より分母=流入量</t>
        </is>
      </c>
    </row>
    <row r="16"/>
    <row r="17">
      <c r="A17" s="42" t="inlineStr">
        <is>
          <t>■ 地理ミスマッチ: 予約は関西に偏在、在庫は全国に滞留</t>
        </is>
      </c>
    </row>
    <row r="18">
      <c r="A18" s="22" t="inlineStr">
        <is>
          <t>・予約上位5店はすべて関西圏（神戸17 / 尼崎12 / 京都7 / 箕面5 / 奈良5）。上位2店で全予約の41%</t>
        </is>
      </c>
    </row>
    <row r="19">
      <c r="A19" s="22" t="inlineStr">
        <is>
          <t>・予約ゼロで在庫最多: LORO横浜31台 / LORO尾道22台 / SPZ熊本18台</t>
        </is>
      </c>
    </row>
    <row r="20">
      <c r="A20" s="22" t="inlineStr">
        <is>
          <t>・しまなみ海道の玄関口・尾道で22台が予約ゼロ → 集客施策の地域優先順位を決める一次データ</t>
        </is>
      </c>
    </row>
    <row r="21">
      <c r="A21" s="22" t="inlineStr">
        <is>
          <t>・store_00XX@pedalstandard.com名義の店舗（運営社ドメイン）が4件 → 正体要確認</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 customWidth="1" style="31" min="1" max="1"/>
    <col width="52" customWidth="1" style="31" min="2" max="2"/>
    <col width="48" customWidth="1" style="31" min="3" max="3"/>
    <col width="36" customWidth="1" style="31" min="4" max="4"/>
  </cols>
  <sheetData>
    <row r="1">
      <c r="A1" s="41" t="inlineStr">
        <is>
          <t>クライアント確認リスト（回答欄つき）</t>
        </is>
      </c>
    </row>
    <row r="2">
      <c r="A2" s="40" t="inlineStr">
        <is>
          <t>分析日: 2026-06-11（本番データ）。出典・検証経緯は「出典と経緯」シート参照</t>
        </is>
      </c>
    </row>
    <row r="3"/>
    <row r="4">
      <c r="A4" s="38" t="inlineStr">
        <is>
          <t>#</t>
        </is>
      </c>
      <c r="B4" s="38" t="inlineStr">
        <is>
          <t>確認事項</t>
        </is>
      </c>
      <c r="C4" s="38" t="inlineStr">
        <is>
          <t>分かると何が決まるか</t>
        </is>
      </c>
      <c r="D4" s="38" t="inlineStr">
        <is>
          <t>回答（記入欄）</t>
        </is>
      </c>
    </row>
    <row r="5">
      <c r="A5" s="35" t="n">
        <v>1</v>
      </c>
      <c r="B5" s="35" t="inlineStr">
        <is>
          <t>店頭決済の手数料、システム外（銀行振込等）で回収した実績はあるか</t>
        </is>
      </c>
      <c r="C5" s="35" t="inlineStr">
        <is>
          <t>実収入が¥8,690で全部かの最終確定。過去分¥76,150の扱いと回収方式の意思決定</t>
        </is>
      </c>
      <c r="D5" s="56" t="inlineStr"/>
    </row>
    <row r="6">
      <c r="A6" s="35" t="n">
        <v>2</v>
      </c>
      <c r="B6" s="35" t="inlineStr">
        <is>
          <t>キャンセル16件の理由内訳</t>
        </is>
      </c>
      <c r="C6" s="35" t="inlineStr">
        <is>
          <t>キャンセルポリシー施策のコスト試算</t>
        </is>
      </c>
      <c r="D6" s="56" t="inlineStr"/>
    </row>
    <row r="7">
      <c r="A7" s="35" t="n">
        <v>3</v>
      </c>
      <c r="B7" s="35" t="inlineStr">
        <is>
          <t>運営の月額固定費（人件費・ツール）</t>
        </is>
      </c>
      <c r="C7" s="35" t="inlineStr">
        <is>
          <t>損益分岐ラインの確定（→コスト棚卸しシートに記入）</t>
        </is>
      </c>
      <c r="D7" s="56" t="inlineStr"/>
    </row>
    <row r="8">
      <c r="A8" s="35" t="n">
        <v>4</v>
      </c>
      <c r="B8" s="35" t="inlineStr">
        <is>
          <t>2026年2月のアクセス急増（3,402PV/1,603IP）の要因</t>
        </is>
      </c>
      <c r="C8" s="35" t="inlineStr">
        <is>
          <t>再現可能な集客施策かボットかの判別</t>
        </is>
      </c>
      <c r="D8" s="56" t="inlineStr"/>
    </row>
    <row r="9">
      <c r="A9" s="35" t="n">
        <v>5</v>
      </c>
      <c r="B9" s="35" t="inlineStr">
        <is>
          <t>リピート率（要: 乗車人情報テーブルのエクスポート）</t>
        </is>
      </c>
      <c r="C9" s="35" t="inlineStr">
        <is>
          <t>リピート率・アクティベーション率の初計測</t>
        </is>
      </c>
      <c r="D9" s="56" t="inlineStr"/>
    </row>
    <row r="10">
      <c r="A10" s="35" t="n">
        <v>6</v>
      </c>
      <c r="B10" s="35" t="inlineStr">
        <is>
          <t>store_00XX@pedalstandard.com名義店舗の正体 / 「100店舗」の出所</t>
        </is>
      </c>
      <c r="C10" s="35" t="inlineStr">
        <is>
          <t>店舗数・予約数の実態補正</t>
        </is>
      </c>
      <c r="D10" s="56"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30" customWidth="1" style="31" min="1" max="1"/>
    <col width="95" customWidth="1" style="31" min="2" max="2"/>
    <col width="60" customWidth="1" style="31" min="3" max="3"/>
  </cols>
  <sheetData>
    <row r="1">
      <c r="A1" s="41" t="inlineStr">
        <is>
          <t>出典と検証の経緯</t>
        </is>
      </c>
    </row>
    <row r="2">
      <c r="A2" s="40" t="inlineStr">
        <is>
          <t>このブックが「収益モデル」の正本（2026-06-12にmdから完全移行）。分析日: 2026-06-11</t>
        </is>
      </c>
    </row>
    <row r="3"/>
    <row r="4">
      <c r="A4" s="42" t="inlineStr">
        <is>
          <t>■ データソース</t>
        </is>
      </c>
      <c r="B4" s="22" t="inlineStr"/>
    </row>
    <row r="5">
      <c r="A5" s="39" t="inlineStr">
        <is>
          <t>本番DBエクスポート</t>
        </is>
      </c>
      <c r="B5" s="35" t="inlineStr">
        <is>
          <t>source/ フォルダ（gitignore対象・コミットされない）: reserve.csv（予約121レコード全列）/ users.csv（146人: ユーザー91・加盟店54・管理者1）/ bicycle.csv（369台）/ shop.csv / access-logs.csv（13,596行）/ bike-option.csv — いずれも2026-06-11取得</t>
        </is>
      </c>
    </row>
    <row r="6">
      <c r="A6" s="39" t="inlineStr">
        <is>
          <t>Pay.jp本番スクリーンショット</t>
        </is>
      </c>
      <c r="B6" s="35" t="inlineStr">
        <is>
          <t>source/payjp/ 売り上げ一覧.png（全期間で10件のみ）・入金一覧.png（残高¥8,690・次回入金¥6,940）— 2026-06-11取得</t>
        </is>
      </c>
    </row>
    <row r="7">
      <c r="A7" s="39" t="inlineStr">
        <is>
          <t>決済フローの仕様</t>
        </is>
      </c>
      <c r="B7" s="35" t="inlineStr">
        <is>
          <t>98_presentations/pay.jp/asis.html（手数料15%・カード手数料3.5%店舗負担・ライド開始時課金・店頭決済の未請求フォールバック）</t>
        </is>
      </c>
    </row>
    <row r="8">
      <c r="B8" s="22" t="inlineStr"/>
    </row>
    <row r="9">
      <c r="A9" s="42" t="inlineStr">
        <is>
          <t>■ 検証の経緯（重要な訂正履歴）</t>
        </is>
      </c>
      <c r="B9" s="22" t="inlineStr"/>
    </row>
    <row r="10">
      <c r="A10" s="39" t="inlineStr">
        <is>
          <t>「予約の60%に手数料記録がない」→ 誤分析と判明</t>
        </is>
      </c>
      <c r="B10" s="35" t="inlineStr">
        <is>
          <t>全列エクスポートで再検証した結果、記録がない行は仮情報51・キャンセル16・来客待ち5で、完了49件の記録は100%。本当の問題は「記録はあるが店頭決済分¥76,150が未請求」（→収益の論点シート）</t>
        </is>
      </c>
    </row>
    <row r="11">
      <c r="A11" s="39" t="inlineStr">
        <is>
          <t>「15%修正が効いていない疑い」→ 晴れた</t>
        </is>
      </c>
      <c r="B11" s="35" t="inlineStr">
        <is>
          <t>5月の平均手数料/件が4月と同額だったため疑ったが、合計金額との照合で5月完了21件すべて15%と確認。平均が変わらなかったのは5月の予約単価が小さめだっただけ</t>
        </is>
      </c>
    </row>
    <row r="12">
      <c r="A12" s="39" t="inlineStr">
        <is>
          <t>「LCP 3〜5秒」→ 実測49.3秒</t>
        </is>
      </c>
      <c r="B12" s="35" t="inlineStr">
        <is>
          <t>Lighthouse実測（2026-06-11、モバイル・slow 4G）: スコア25/FCP 20.3s/LCP 49.3s/総重量9.2MB。詳細は current-issues-and-solutions.md</t>
        </is>
      </c>
    </row>
    <row r="13">
      <c r="A13" s="39" t="inlineStr">
        <is>
          <t>「店舗100」→ DBは54店</t>
        </is>
      </c>
      <c r="B13" s="35" t="inlineStr">
        <is>
          <t>口頭情報とDBが不一致。出所はクライアント確認リスト#6</t>
        </is>
      </c>
    </row>
    <row r="14">
      <c r="B14" s="22" t="inlineStr"/>
    </row>
    <row r="15">
      <c r="A15" s="42" t="inlineStr">
        <is>
          <t>■ 関連ドキュメント</t>
        </is>
      </c>
      <c r="B15" s="22" t="inlineStr"/>
    </row>
    <row r="16">
      <c r="A16" s="39" t="inlineStr">
        <is>
          <t>「KPIツリー」シート</t>
        </is>
      </c>
      <c r="B16" s="35" t="inlineStr">
        <is>
          <t>収益の分解ツリーと優先順位（ボトルネック=回収率とセッション数）</t>
        </is>
      </c>
    </row>
    <row r="17">
      <c r="A17" s="39" t="inlineStr">
        <is>
          <t>shop-hearing-design.md</t>
        </is>
      </c>
      <c r="B17" s="35" t="inlineStr">
        <is>
          <t>ヒアリング設計（対象店舗は需給分析シートのデータで実名選定済み）</t>
        </is>
      </c>
    </row>
    <row r="18">
      <c r="A18" s="39" t="inlineStr">
        <is>
          <t>current-issues-and-solutions.md</t>
        </is>
      </c>
      <c r="B18" s="35" t="inlineStr">
        <is>
          <t>課題と対策の全体像（収益モデル・保険・ステマ規制のセクションあり）</t>
        </is>
      </c>
    </row>
    <row r="19">
      <c r="A19" s="39" t="inlineStr">
        <is>
          <t>../03_seo/seo-setup-guide.md</t>
        </is>
      </c>
      <c r="B19" s="35" t="inlineStr">
        <is>
          <t>SEO Phase 1の実施手順</t>
        </is>
      </c>
    </row>
    <row r="20">
      <c r="B20" s="22" t="inlineStr"/>
    </row>
    <row r="21">
      <c r="A21" s="42" t="inlineStr">
        <is>
          <t>■ 主な外部出典</t>
        </is>
      </c>
      <c r="B21" s="22" t="inlineStr"/>
    </row>
    <row r="22">
      <c r="A22" s="39" t="inlineStr">
        <is>
          <t>OTA手数料相場</t>
        </is>
      </c>
      <c r="B22" s="35" t="inlineStr">
        <is>
          <t>アソビュー10〜20% / KLOOK 15〜20% / じゃらん16.4%（詳細出典は action-plan.md / current-issues-and-solutions.md に記載）</t>
        </is>
      </c>
    </row>
    <row r="23">
      <c r="A23" s="39" t="inlineStr">
        <is>
          <t>物販送客の根拠</t>
        </is>
      </c>
      <c r="B23" s="35" t="inlineStr">
        <is>
          <t>Trek: レンタル料100%を購入代金に充当 https://www.trekbikes.com/us/en_US/trek-bike-rentals/ / レンティオ: レンタル経由で購入数4倍以上 https://www.rentio.co.jp/enterprise/column/renttoown</t>
        </is>
      </c>
    </row>
    <row r="24">
      <c r="A24" s="39" t="inlineStr">
        <is>
          <t>供給側崩壊の先行事例</t>
        </is>
      </c>
      <c r="B24" s="35" t="inlineStr">
        <is>
          <t>Anyca（2024年終了・手数料15〜35%で供給離反） https://www.watch.impress.co.jp/docs/news/1631359.html / Spinlister（2018年終了）</t>
        </is>
      </c>
    </row>
    <row r="25"/>
    <row r="26">
      <c r="A26" s="42" t="inlineStr">
        <is>
          <t>■ 主要数値の出典対応表（この数字どこから？）</t>
        </is>
      </c>
    </row>
    <row r="27">
      <c r="A27" s="38" t="inlineStr">
        <is>
          <t>数値</t>
        </is>
      </c>
      <c r="B27" s="38" t="inlineStr">
        <is>
          <t>値</t>
        </is>
      </c>
      <c r="C27" s="38" t="inlineStr">
        <is>
          <t>出典・確認方法</t>
        </is>
      </c>
    </row>
    <row r="28">
      <c r="A28" s="35" t="inlineStr">
        <is>
          <t>手数料率</t>
        </is>
      </c>
      <c r="B28" s="35" t="inlineStr">
        <is>
          <t>15%</t>
        </is>
      </c>
      <c r="C28" s="35" t="inlineStr">
        <is>
          <t>クライアント確認（2026-05切替）+ reserve.csv で5月完了21件全件「合計金額×15%=手数料」を照合して裏取り</t>
        </is>
      </c>
    </row>
    <row r="29">
      <c r="A29" s="35" t="inlineStr">
        <is>
          <t>カード手数料3.5%は店舗負担</t>
        </is>
      </c>
      <c r="B29" s="35" t="inlineStr">
        <is>
          <t>—</t>
        </is>
      </c>
      <c r="C29" s="35" t="inlineStr">
        <is>
          <t>98_presentations/pay.jp/asis.html（決済フロー仕様）</t>
        </is>
      </c>
    </row>
    <row r="30">
      <c r="A30" s="35" t="inlineStr">
        <is>
          <t>登録店舗数</t>
        </is>
      </c>
      <c r="B30" s="35" t="inlineStr">
        <is>
          <t>54店</t>
        </is>
      </c>
      <c r="C30" s="35" t="inlineStr">
        <is>
          <t>users.csv の Right=加盟店 を集計（アーカイブ2店含む）</t>
        </is>
      </c>
    </row>
    <row r="31">
      <c r="A31" s="35" t="inlineStr">
        <is>
          <t>登録利用者数</t>
        </is>
      </c>
      <c r="B31" s="35" t="inlineStr">
        <is>
          <t>91人</t>
        </is>
      </c>
      <c r="C31" s="35" t="inlineStr">
        <is>
          <t>users.csv の Right=ユーザー を集計</t>
        </is>
      </c>
    </row>
    <row r="32">
      <c r="A32" s="35" t="inlineStr">
        <is>
          <t>実予約70件 / 完了49 / キャンセル16</t>
        </is>
      </c>
      <c r="B32" s="35" t="inlineStr">
        <is>
          <t>—</t>
        </is>
      </c>
      <c r="C32" s="35" t="inlineStr">
        <is>
          <t>reserve.csv のステータス列+予約番号の有無で集計（仮情報51件は除外）</t>
        </is>
      </c>
    </row>
    <row r="33">
      <c r="A33" s="35" t="inlineStr">
        <is>
          <t>月別の完了予約数・手数料収入</t>
        </is>
      </c>
      <c r="B33" s="35" t="inlineStr">
        <is>
          <t>月別実績シート</t>
        </is>
      </c>
      <c r="C33" s="35" t="inlineStr">
        <is>
          <t>reserve.csv の返却日×手数料デフォルト列を月別集計</t>
        </is>
      </c>
    </row>
    <row r="34">
      <c r="A34" s="35" t="inlineStr">
        <is>
          <t>RINCLEの実入金</t>
        </is>
      </c>
      <c r="B34" s="35" t="inlineStr">
        <is>
          <t>¥8,690</t>
        </is>
      </c>
      <c r="C34" s="35" t="inlineStr">
        <is>
          <t>Pay.jp本番管理画面のスクショ（source/payjp/入金一覧.png）</t>
        </is>
      </c>
    </row>
    <row r="35">
      <c r="A35" s="35" t="inlineStr">
        <is>
          <t>店頭決済の未請求手数料</t>
        </is>
      </c>
      <c r="B35" s="35" t="inlineStr">
        <is>
          <t>¥76,150</t>
        </is>
      </c>
      <c r="C35" s="35" t="inlineStr">
        <is>
          <t>reserve.csv の支払い方法=店頭決済 43件の手数料合計。全件「請求済み=いいえ」+ 手数料月ごとテーブル未使用（クライアント確認）</t>
        </is>
      </c>
    </row>
    <row r="36">
      <c r="A36" s="35" t="inlineStr">
        <is>
          <t>平均予約単価</t>
        </is>
      </c>
      <c r="B36" s="35" t="inlineStr">
        <is>
          <t>約¥10,200</t>
        </is>
      </c>
      <c r="C36" s="35" t="inlineStr">
        <is>
          <t>5月実測の手数料平均¥1,532 ÷ 15% で逆算</t>
        </is>
      </c>
    </row>
    <row r="37">
      <c r="A37" s="35" t="inlineStr">
        <is>
          <t>自転車369台 / E-Bike79台 / 非表示125台</t>
        </is>
      </c>
      <c r="B37" s="35" t="inlineStr">
        <is>
          <t>—</t>
        </is>
      </c>
      <c r="C37" s="35" t="inlineStr">
        <is>
          <t>bicycle.csv（カテゴリ・ebike・貸出ステータス列を集計）</t>
        </is>
      </c>
    </row>
    <row r="38">
      <c r="A38" s="35" t="inlineStr">
        <is>
          <t>月間アクセス 約700IP / 2,300PV</t>
        </is>
      </c>
      <c r="B38" s="35" t="inlineStr">
        <is>
          <t>2026-05</t>
        </is>
      </c>
      <c r="C38" s="35" t="inlineStr">
        <is>
          <t>access-logs.csv（13,596行）を月別集計。IP=ユニークIPアドレス数</t>
        </is>
      </c>
    </row>
    <row r="39">
      <c r="A39" s="35" t="inlineStr">
        <is>
          <t>粗いCVR 約4%</t>
        </is>
      </c>
      <c r="B39" s="35" t="inlineStr">
        <is>
          <t>参考値</t>
        </is>
      </c>
      <c r="C39" s="35" t="inlineStr">
        <is>
          <t>5月の実予約28件 ÷ 5月ユニークIP約700。IP≠人なので目安</t>
        </is>
      </c>
    </row>
    <row r="40">
      <c r="A40" s="35" t="inlineStr">
        <is>
          <t>Bubble Growthプラン 約¥18,000/月</t>
        </is>
      </c>
      <c r="B40" s="35" t="inlineStr">
        <is>
          <t>仮（要確認）</t>
        </is>
      </c>
      <c r="C40" s="35" t="inlineStr">
        <is>
          <t>Bubble公式料金 $119/月（年契約）× 約150円/$ で換算</t>
        </is>
      </c>
    </row>
    <row r="41">
      <c r="A41" s="35" t="inlineStr">
        <is>
          <t>損益分岐の必要件数</t>
        </is>
      </c>
      <c r="B41" s="35" t="inlineStr">
        <is>
          <t>計算値</t>
        </is>
      </c>
      <c r="C41" s="35" t="inlineStr">
        <is>
          <t>試算モデルシートの数式: 月間固定費 ÷（単価×手数料率×徴収率）</t>
        </is>
      </c>
    </row>
    <row r="42">
      <c r="A42" s="35" t="inlineStr">
        <is>
          <t>OTA手数料相場 10〜20%</t>
        </is>
      </c>
      <c r="B42" s="35" t="inlineStr">
        <is>
          <t>外部調査</t>
        </is>
      </c>
      <c r="C42" s="35" t="inlineStr">
        <is>
          <t>2026-06の深掘り調査（出典URLは action-plan.md に記載）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2026-06-11T03:55:38Z</dcterms:created>
  <dcterms:modified xsi:type="dcterms:W3CDTF">2026-06-11T08:21:42Z</dcterms:modified>
  <cp:lastModifiedBy>清野 奨稀</cp:lastModifiedBy>
</cp:coreProperties>
</file>