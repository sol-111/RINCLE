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" sheetId="1" state="visible" r:id="rId1"/>
    <sheet name="試算モデル" sheetId="2" state="visible" r:id="rId2"/>
    <sheet name="コスト棚卸し" sheetId="3" state="visible" r:id="rId3"/>
    <sheet name="月別実績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&quot;円&quot;"/>
    <numFmt numFmtId="166" formatCode="0&quot;件&quot;"/>
    <numFmt numFmtId="167" formatCode="0.0&quot;件&quot;"/>
    <numFmt numFmtId="168" formatCode="0.00&quot;倍&quot;"/>
  </numFmts>
  <fonts count="11">
    <font>
      <name val="Calibri"/>
      <family val="2"/>
      <color theme="1"/>
      <sz val="11"/>
      <scheme val="minor"/>
    </font>
    <font>
      <b val="1"/>
      <sz val="14"/>
    </font>
    <font>
      <color rgb="00808080"/>
      <sz val="10"/>
    </font>
    <font>
      <b val="1"/>
    </font>
    <font>
      <color rgb="00808080"/>
      <sz val="9"/>
    </font>
    <font>
      <b val="1"/>
      <color rgb="00FFFFFF"/>
    </font>
    <font>
      <sz val="10"/>
    </font>
    <font>
      <b val="1"/>
      <sz val="13"/>
    </font>
    <font>
      <color rgb="00606060"/>
      <sz val="9"/>
    </font>
    <font>
      <b val="1"/>
      <sz val="12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1F3864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166" fontId="0" fillId="2" borderId="1" pivotButton="0" quotePrefix="0" xfId="0"/>
    <xf numFmtId="165" fontId="3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0" fontId="5" fillId="4" borderId="1" pivotButton="0" quotePrefix="0" xfId="0"/>
    <xf numFmtId="165" fontId="5" fillId="4" borderId="1" pivotButton="0" quotePrefix="0" xfId="0"/>
    <xf numFmtId="166" fontId="3" fillId="0" borderId="1" pivotButton="0" quotePrefix="0" xfId="0"/>
    <xf numFmtId="165" fontId="0" fillId="3" borderId="1" pivotButton="0" quotePrefix="0" xfId="0"/>
    <xf numFmtId="0" fontId="6" fillId="5" borderId="0" pivotButton="0" quotePrefix="0" xfId="0"/>
    <xf numFmtId="166" fontId="0" fillId="0" borderId="1" pivotButton="0" quotePrefix="0" xfId="0"/>
    <xf numFmtId="0" fontId="3" fillId="0" borderId="1" pivotButton="0" quotePrefix="0" xfId="0"/>
    <xf numFmtId="0" fontId="7" fillId="0" borderId="0" pivotButton="0" quotePrefix="0" xfId="0"/>
    <xf numFmtId="0" fontId="8" fillId="0" borderId="1" pivotButton="0" quotePrefix="0" xfId="0"/>
    <xf numFmtId="0" fontId="0" fillId="5" borderId="1" pivotButton="0" quotePrefix="0" xfId="0"/>
    <xf numFmtId="165" fontId="3" fillId="0" borderId="1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3" fillId="2" borderId="1" pivotButton="0" quotePrefix="0" xfId="0"/>
    <xf numFmtId="0" fontId="0" fillId="0" borderId="1" applyAlignment="1" pivotButton="0" quotePrefix="0" xfId="0">
      <alignment vertical="top" wrapText="1"/>
    </xf>
    <xf numFmtId="0" fontId="3" fillId="3" borderId="1" pivotButton="0" quotePrefix="0" xfId="0"/>
    <xf numFmtId="0" fontId="3" fillId="5" borderId="1" pivotButton="0" quotePrefix="0" xfId="0"/>
    <xf numFmtId="0" fontId="1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このファイルは何？</t>
        </is>
      </c>
      <c r="B1" s="23" t="inlineStr"/>
    </row>
    <row r="2">
      <c r="B2" s="23" t="inlineStr">
        <is>
          <t>RINCLE が「もうかる仕組みになっているか」を計算するためのファイルです。予約が月に何件あって、1件あたりいくら RINCLE に入って、毎月出ていくお金（固定費）を引いたら、いくら残るのか？ を見ます。</t>
        </is>
      </c>
    </row>
    <row r="3"/>
    <row r="4">
      <c r="A4" s="24" t="inlineStr">
        <is>
          <t>マスの色のルール</t>
        </is>
      </c>
      <c r="B4" s="23" t="inlineStr"/>
    </row>
    <row r="5">
      <c r="A5" s="25" t="inlineStr">
        <is>
          <t>黄色のマス</t>
        </is>
      </c>
      <c r="B5" s="26" t="inlineStr">
        <is>
          <t>自由に書き換えてOK。「前提」の数字（予約件数・手数料率・固定費など）。ここを変えると他の数字が全部自動で変わる</t>
        </is>
      </c>
    </row>
    <row r="6">
      <c r="A6" s="27" t="inlineStr">
        <is>
          <t>青色のマス</t>
        </is>
      </c>
      <c r="B6" s="26" t="inlineStr">
        <is>
          <t>自動計算。数式が入っているので触らない（壊れたら言ってください、直せます）</t>
        </is>
      </c>
    </row>
    <row r="7">
      <c r="A7" s="28" t="inlineStr">
        <is>
          <t>ピンクのマス</t>
        </is>
      </c>
      <c r="B7" s="26" t="inlineStr">
        <is>
          <t>「まだ確認できていない・仮の数字」の印。本当の数字が分かったら黄色マスを直す</t>
        </is>
      </c>
    </row>
    <row r="8"/>
    <row r="9">
      <c r="A9" s="24" t="inlineStr">
        <is>
          <t>各シートの説明</t>
        </is>
      </c>
      <c r="B9" s="23" t="inlineStr"/>
    </row>
    <row r="10" ht="45" customHeight="1">
      <c r="A10" s="29" t="inlineStr">
        <is>
          <t>② 試算モデル</t>
        </is>
      </c>
      <c r="B10" s="26" t="inlineStr">
        <is>
          <t>メインの電卓。上の黄色マス5つ（手数料率/平均単価/月間件数/徴収率/固定費）を変えると、「月にいくら残るか」「あと何件でトントンか」が下に出ます。一番下の表は「件数×固定費」の組み合わせごとの損益の早見表</t>
        </is>
      </c>
    </row>
    <row r="11" ht="45" customHeight="1">
      <c r="A11" s="29" t="inlineStr">
        <is>
          <t>③ コスト棚卸し</t>
        </is>
      </c>
      <c r="B11" s="26" t="inlineStr">
        <is>
          <t>毎月出ていくお金のリスト。今は仮の数字（人件費6万円など）が入っているので、本当の金額が分かったら黄色マスに上書きしてください。合計は②の「月間固定費」に自動でつながっています</t>
        </is>
      </c>
    </row>
    <row r="12" ht="45" customHeight="1">
      <c r="A12" s="29" t="inlineStr">
        <is>
          <t>④ 月別実績</t>
        </is>
      </c>
      <c r="B12" s="26" t="inlineStr">
        <is>
          <t>過去の本当のデータ（2025年10月〜）。月ごとに予約が何件完了して、手数料がいくら記録されたか。②が「もしも」の計算、④が「実際」の記録、という関係です</t>
        </is>
      </c>
    </row>
    <row r="13"/>
    <row r="14">
      <c r="A14" s="24" t="inlineStr">
        <is>
          <t>用語ミニ辞典</t>
        </is>
      </c>
      <c r="B14" s="23" t="inlineStr"/>
    </row>
    <row r="15">
      <c r="A15" s="18" t="inlineStr">
        <is>
          <t>手数料率</t>
        </is>
      </c>
      <c r="B15" s="26" t="inlineStr">
        <is>
          <t>予約料金のうち RINCLE がもらう割合。今は15%。お客さんが1万円払うと RINCLE に1,500円入る約束</t>
        </is>
      </c>
    </row>
    <row r="16">
      <c r="A16" s="18" t="inlineStr">
        <is>
          <t>GMV</t>
        </is>
      </c>
      <c r="B16" s="26" t="inlineStr">
        <is>
          <t>お客さんが払ったお金の合計（流通総額）。RINCLE の売上ではない点に注意。RINCLE の取り分は GMV × 15%</t>
        </is>
      </c>
    </row>
    <row r="17">
      <c r="A17" s="18" t="inlineStr">
        <is>
          <t>徴収率</t>
        </is>
      </c>
      <c r="B17" s="26" t="inlineStr">
        <is>
          <t>もらえるはずの手数料のうち、実際に受け取れた割合。カード決済は自動で入るが、店頭の現金払い分は今のところ回収できていない（ここが大問題）</t>
        </is>
      </c>
    </row>
    <row r="18">
      <c r="A18" s="18" t="inlineStr">
        <is>
          <t>固定費</t>
        </is>
      </c>
      <c r="B18" s="26" t="inlineStr">
        <is>
          <t>予約が0件の月でも出ていくお金。サーバー代（Bubble）や人件費など</t>
        </is>
      </c>
    </row>
    <row r="19">
      <c r="A19" s="18" t="inlineStr">
        <is>
          <t>損益分岐</t>
        </is>
      </c>
      <c r="B19" s="26" t="inlineStr">
        <is>
          <t>入るお金と出ていくお金がトントンになるライン。「月◯件予約があれば赤字じゃなくなる」の◯件のこと</t>
        </is>
      </c>
    </row>
    <row r="20">
      <c r="A20" s="18" t="inlineStr">
        <is>
          <t>ユニットエコノミクス</t>
        </is>
      </c>
      <c r="B20" s="26" t="inlineStr">
        <is>
          <t>「予約1件あたりで見て、もうかる構造か？」を確かめる考え方。このファイルの「試算モデル」シートがそれにあたる</t>
        </is>
      </c>
    </row>
    <row r="21"/>
    <row r="22">
      <c r="A22" s="24" t="inlineStr">
        <is>
          <t>使い方の例</t>
        </is>
      </c>
      <c r="B22" s="23" t="inlineStr"/>
    </row>
    <row r="23" ht="60" customHeight="1">
      <c r="B23" s="23" t="inlineStr">
        <is>
          <t>「もし予約が月100件になったら？」→ ②試算モデルの黄色マス「月間予約件数」を 100 に書き換える → 月間損益が自動で変わる。「人件費が本当は月20万だったら？」→ ③コスト棚卸しの人件費を 200000 に → ②の固定費と損益が自動で変わる。数字で遊んでも元データ（④）は壊れないので、安心していじってください。</t>
        </is>
      </c>
    </row>
    <row r="24"/>
    <row r="25">
      <c r="B25" s="6" t="inlineStr">
        <is>
          <t>詳しい分析と根拠は同じフォルダの revenue-model.md / kpi-tree.md を参照（2026-06-11時点の本番データに基づく）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RINCLE ユニットエコノミクス試算モデル</t>
        </is>
      </c>
    </row>
    <row r="2">
      <c r="A2" s="2" t="inlineStr">
        <is>
          <t>黄色セル＝前提（自由に変更可） / 青セル＝自動計算。根拠は revenue-model.md 参照</t>
        </is>
      </c>
    </row>
    <row r="3"/>
    <row r="4">
      <c r="A4" s="3" t="inlineStr">
        <is>
          <t>■ 前提（入力）</t>
        </is>
      </c>
    </row>
    <row r="5">
      <c r="A5" s="4" t="inlineStr">
        <is>
          <t>手数料率</t>
        </is>
      </c>
      <c r="B5" s="5" t="n">
        <v>0.15</v>
      </c>
      <c r="C5" s="6" t="inlineStr">
        <is>
          <t>契約15%・2026-05から実装も15%（全件照合済み）。4月以前は10%</t>
        </is>
      </c>
    </row>
    <row r="6">
      <c r="A6" s="4" t="inlineStr">
        <is>
          <t>平均予約単価（GMV）</t>
        </is>
      </c>
      <c r="B6" s="7" t="n">
        <v>10200</v>
      </c>
      <c r="C6" s="6" t="inlineStr">
        <is>
          <t>実測: 5月の完了21件平均手数料¥1,532÷15%。6月は大口化で上昇傾向（参考¥25,700）</t>
        </is>
      </c>
    </row>
    <row r="7">
      <c r="A7" s="4" t="inlineStr">
        <is>
          <t>月間予約件数</t>
        </is>
      </c>
      <c r="B7" s="8" t="n">
        <v>21</v>
      </c>
      <c r="C7" s="6" t="inlineStr">
        <is>
          <t>実績: 2026年5月の完了予約（実予約28件、うちキャンセル5・来客待ち等）</t>
        </is>
      </c>
    </row>
    <row r="8">
      <c r="A8" s="4" t="inlineStr">
        <is>
          <t>手数料の徴収率</t>
        </is>
      </c>
      <c r="B8" s="5" t="n">
        <v>1</v>
      </c>
      <c r="C8" s="6" t="inlineStr">
        <is>
          <t>店頭決済分(88%)の月次回収が機能していない場合は0.12に（クレカ分のみ回収）</t>
        </is>
      </c>
    </row>
    <row r="9">
      <c r="A9" s="4" t="inlineStr">
        <is>
          <t>月間固定費</t>
        </is>
      </c>
      <c r="B9" s="7">
        <f>'コスト棚卸し'!C13</f>
        <v/>
      </c>
      <c r="C9" s="6" t="inlineStr">
        <is>
          <t>「コスト棚卸し」シートの合計に自動連動（仮置き含む。実数記入で更新される）</t>
        </is>
      </c>
    </row>
    <row r="10"/>
    <row r="11">
      <c r="A11" s="3" t="inlineStr">
        <is>
          <t>■ 計算結果</t>
        </is>
      </c>
    </row>
    <row r="12">
      <c r="A12" s="4" t="inlineStr">
        <is>
          <t>RINCLEの取り分 / 件</t>
        </is>
      </c>
      <c r="B12" s="9">
        <f>B6*B5</f>
        <v/>
      </c>
    </row>
    <row r="13">
      <c r="A13" s="4" t="inlineStr">
        <is>
          <t>月間GMV</t>
        </is>
      </c>
      <c r="B13" s="9">
        <f>B6*B7</f>
        <v/>
      </c>
    </row>
    <row r="14">
      <c r="A14" s="4" t="inlineStr">
        <is>
          <t>月間収益（徴収率込み）</t>
        </is>
      </c>
      <c r="B14" s="9">
        <f>B6*B5*B7*B8</f>
        <v/>
      </c>
    </row>
    <row r="15">
      <c r="A15" s="4" t="inlineStr">
        <is>
          <t>月間損益</t>
        </is>
      </c>
      <c r="B15" s="9">
        <f>B14-B9</f>
        <v/>
      </c>
    </row>
    <row r="16">
      <c r="A16" s="4" t="inlineStr">
        <is>
          <t>損益分岐に必要な予約数 / 月</t>
        </is>
      </c>
      <c r="B16" s="10">
        <f>B9/(B6*B5*B8)</f>
        <v/>
      </c>
    </row>
    <row r="17">
      <c r="A17" s="4" t="inlineStr">
        <is>
          <t>現状件数との倍率</t>
        </is>
      </c>
      <c r="B17" s="11">
        <f>B16/B7</f>
        <v/>
      </c>
    </row>
    <row r="18"/>
    <row r="19"/>
    <row r="20">
      <c r="A20" s="3" t="inlineStr">
        <is>
          <t>■ 月間損益マトリクス（行=月間予約件数、列=月間固定費）※手数料率・単価・徴収率は上の前提に連動</t>
        </is>
      </c>
    </row>
    <row r="21">
      <c r="A21" s="12" t="inlineStr">
        <is>
          <t>件数＼固定費</t>
        </is>
      </c>
      <c r="B21" s="13" t="n">
        <v>20000</v>
      </c>
      <c r="C21" s="13" t="n">
        <v>100000</v>
      </c>
      <c r="D21" s="13" t="n">
        <v>300000</v>
      </c>
      <c r="E21" s="13" t="n">
        <v>500000</v>
      </c>
    </row>
    <row r="22">
      <c r="A22" s="14" t="n">
        <v>10</v>
      </c>
      <c r="B22" s="15">
        <f>$A22*$B$6*$B$5*$B$8-B$21</f>
        <v/>
      </c>
      <c r="C22" s="15">
        <f>$A22*$B$6*$B$5*$B$8-C$21</f>
        <v/>
      </c>
      <c r="D22" s="15">
        <f>$A22*$B$6*$B$5*$B$8-D$21</f>
        <v/>
      </c>
      <c r="E22" s="15">
        <f>$A22*$B$6*$B$5*$B$8-E$21</f>
        <v/>
      </c>
    </row>
    <row r="23">
      <c r="A23" s="14" t="n">
        <v>20</v>
      </c>
      <c r="B23" s="15">
        <f>$A23*$B$6*$B$5*$B$8-B$21</f>
        <v/>
      </c>
      <c r="C23" s="15">
        <f>$A23*$B$6*$B$5*$B$8-C$21</f>
        <v/>
      </c>
      <c r="D23" s="15">
        <f>$A23*$B$6*$B$5*$B$8-D$21</f>
        <v/>
      </c>
      <c r="E23" s="15">
        <f>$A23*$B$6*$B$5*$B$8-E$21</f>
        <v/>
      </c>
    </row>
    <row r="24">
      <c r="A24" s="14" t="n">
        <v>41</v>
      </c>
      <c r="B24" s="15">
        <f>$A24*$B$6*$B$5*$B$8-B$21</f>
        <v/>
      </c>
      <c r="C24" s="15">
        <f>$A24*$B$6*$B$5*$B$8-C$21</f>
        <v/>
      </c>
      <c r="D24" s="15">
        <f>$A24*$B$6*$B$5*$B$8-D$21</f>
        <v/>
      </c>
      <c r="E24" s="15">
        <f>$A24*$B$6*$B$5*$B$8-E$21</f>
        <v/>
      </c>
    </row>
    <row r="25">
      <c r="A25" s="14" t="n">
        <v>60</v>
      </c>
      <c r="B25" s="15">
        <f>$A25*$B$6*$B$5*$B$8-B$21</f>
        <v/>
      </c>
      <c r="C25" s="15">
        <f>$A25*$B$6*$B$5*$B$8-C$21</f>
        <v/>
      </c>
      <c r="D25" s="15">
        <f>$A25*$B$6*$B$5*$B$8-D$21</f>
        <v/>
      </c>
      <c r="E25" s="15">
        <f>$A25*$B$6*$B$5*$B$8-E$21</f>
        <v/>
      </c>
    </row>
    <row r="26">
      <c r="A26" s="14" t="n">
        <v>80</v>
      </c>
      <c r="B26" s="15">
        <f>$A26*$B$6*$B$5*$B$8-B$21</f>
        <v/>
      </c>
      <c r="C26" s="15">
        <f>$A26*$B$6*$B$5*$B$8-C$21</f>
        <v/>
      </c>
      <c r="D26" s="15">
        <f>$A26*$B$6*$B$5*$B$8-D$21</f>
        <v/>
      </c>
      <c r="E26" s="15">
        <f>$A26*$B$6*$B$5*$B$8-E$21</f>
        <v/>
      </c>
    </row>
    <row r="27">
      <c r="A27" s="14" t="n">
        <v>113</v>
      </c>
      <c r="B27" s="15">
        <f>$A27*$B$6*$B$5*$B$8-B$21</f>
        <v/>
      </c>
      <c r="C27" s="15">
        <f>$A27*$B$6*$B$5*$B$8-C$21</f>
        <v/>
      </c>
      <c r="D27" s="15">
        <f>$A27*$B$6*$B$5*$B$8-D$21</f>
        <v/>
      </c>
      <c r="E27" s="15">
        <f>$A27*$B$6*$B$5*$B$8-E$21</f>
        <v/>
      </c>
    </row>
    <row r="28">
      <c r="A28" s="14" t="n">
        <v>150</v>
      </c>
      <c r="B28" s="15">
        <f>$A28*$B$6*$B$5*$B$8-B$21</f>
        <v/>
      </c>
      <c r="C28" s="15">
        <f>$A28*$B$6*$B$5*$B$8-C$21</f>
        <v/>
      </c>
      <c r="D28" s="15">
        <f>$A28*$B$6*$B$5*$B$8-D$21</f>
        <v/>
      </c>
      <c r="E28" s="15">
        <f>$A28*$B$6*$B$5*$B$8-E$21</f>
        <v/>
      </c>
    </row>
    <row r="29">
      <c r="A29" s="14" t="n">
        <v>200</v>
      </c>
      <c r="B29" s="15">
        <f>$A29*$B$6*$B$5*$B$8-B$21</f>
        <v/>
      </c>
      <c r="C29" s="15">
        <f>$A29*$B$6*$B$5*$B$8-C$21</f>
        <v/>
      </c>
      <c r="D29" s="15">
        <f>$A29*$B$6*$B$5*$B$8-D$21</f>
        <v/>
      </c>
      <c r="E29" s="15">
        <f>$A29*$B$6*$B$5*$B$8-E$21</f>
        <v/>
      </c>
    </row>
    <row r="30"/>
    <row r="31">
      <c r="A31" s="16" t="inlineStr">
        <is>
          <t>⚠ 論点: 店頭決済43件の手数料¥76,150が請求済み=いいえのまま。回収運用が要確認（revenue-model.md 論点①）</t>
        </is>
      </c>
    </row>
  </sheetData>
  <mergeCells count="1">
    <mergeCell ref="A31:F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4" max="4"/>
    <col width="52" customWidth="1" min="5" max="5"/>
  </cols>
  <sheetData>
    <row r="1">
      <c r="A1" s="19" t="inlineStr">
        <is>
          <t>RINCLE 月次コスト構造の棚卸し</t>
        </is>
      </c>
    </row>
    <row r="2">
      <c r="A2" s="2" t="inlineStr">
        <is>
          <t>黄色セル＝クライアント確認後に実数を記入。合計は「試算モデル」シートの固定費(B9)に自動連動</t>
        </is>
      </c>
    </row>
    <row r="3"/>
    <row r="4">
      <c r="A4" s="12" t="inlineStr">
        <is>
          <t>項目</t>
        </is>
      </c>
      <c r="B4" s="12" t="inlineStr">
        <is>
          <t>分類</t>
        </is>
      </c>
      <c r="C4" s="12" t="inlineStr">
        <is>
          <t>月額</t>
        </is>
      </c>
      <c r="D4" s="12" t="inlineStr">
        <is>
          <t>状態</t>
        </is>
      </c>
      <c r="E4" s="12" t="inlineStr">
        <is>
          <t>メモ</t>
        </is>
      </c>
    </row>
    <row r="5">
      <c r="A5" s="4" t="inlineStr">
        <is>
          <t>Bubble Growthプラン（年契約）</t>
        </is>
      </c>
      <c r="B5" s="4" t="inlineStr">
        <is>
          <t>固定</t>
        </is>
      </c>
      <c r="C5" s="7" t="n">
        <v>18000</v>
      </c>
      <c r="D5" s="4" t="inlineStr">
        <is>
          <t>ほぼ確定</t>
        </is>
      </c>
      <c r="E5" s="20" t="inlineStr">
        <is>
          <t>$119/月×約150円。為替と契約明細で要最終確認</t>
        </is>
      </c>
    </row>
    <row r="6">
      <c r="A6" s="4" t="inlineStr">
        <is>
          <t>独自ドメイン（rincle.co.jp）</t>
        </is>
      </c>
      <c r="B6" s="4" t="inlineStr">
        <is>
          <t>固定</t>
        </is>
      </c>
      <c r="C6" s="7" t="n">
        <v>300</v>
      </c>
      <c r="D6" s="21" t="inlineStr">
        <is>
          <t>仮置き</t>
        </is>
      </c>
      <c r="E6" s="20" t="inlineStr">
        <is>
          <t>年額を12分割した概算</t>
        </is>
      </c>
    </row>
    <row r="7">
      <c r="A7" s="4" t="inlineStr">
        <is>
          <t>Pay.jp 月額固定費</t>
        </is>
      </c>
      <c r="B7" s="4" t="inlineStr">
        <is>
          <t>固定</t>
        </is>
      </c>
      <c r="C7" s="7" t="n">
        <v>0</v>
      </c>
      <c r="D7" s="4" t="inlineStr">
        <is>
          <t>確定</t>
        </is>
      </c>
      <c r="E7" s="20" t="inlineStr">
        <is>
          <t>月額0円・従量のみ。カード手数料3.5%は店舗負担</t>
        </is>
      </c>
    </row>
    <row r="8">
      <c r="A8" s="4" t="inlineStr">
        <is>
          <t>運営人件費（予約対応・店舗サポート）</t>
        </is>
      </c>
      <c r="B8" s="4" t="inlineStr">
        <is>
          <t>固定</t>
        </is>
      </c>
      <c r="C8" s="7" t="n">
        <v>60000</v>
      </c>
      <c r="D8" s="21" t="inlineStr">
        <is>
          <t>仮置き</t>
        </is>
      </c>
      <c r="E8" s="20" t="inlineStr">
        <is>
          <t>誰が何時間/月使っているか要確認。専任なしなら按分で</t>
        </is>
      </c>
    </row>
    <row r="9">
      <c r="A9" s="4" t="inlineStr">
        <is>
          <t>メール配信（SendGrid等Bubble外のツール）</t>
        </is>
      </c>
      <c r="B9" s="4" t="inlineStr">
        <is>
          <t>固定</t>
        </is>
      </c>
      <c r="C9" s="7" t="n">
        <v>0</v>
      </c>
      <c r="D9" s="21" t="inlineStr">
        <is>
          <t>要確認</t>
        </is>
      </c>
      <c r="E9" s="20" t="inlineStr">
        <is>
          <t>Bubble標準のみなら0円</t>
        </is>
      </c>
    </row>
    <row r="10">
      <c r="A10" s="4" t="inlineStr">
        <is>
          <t>会計・請求・その他SaaS</t>
        </is>
      </c>
      <c r="B10" s="4" t="inlineStr">
        <is>
          <t>固定</t>
        </is>
      </c>
      <c r="C10" s="7" t="n">
        <v>0</v>
      </c>
      <c r="D10" s="21" t="inlineStr">
        <is>
          <t>要確認</t>
        </is>
      </c>
      <c r="E10" s="20" t="inlineStr">
        <is>
          <t>請求オペを始める場合はここに追加</t>
        </is>
      </c>
    </row>
    <row r="11">
      <c r="A11" s="4" t="inlineStr">
        <is>
          <t>開発・保守委託費</t>
        </is>
      </c>
      <c r="B11" s="4" t="inlineStr">
        <is>
          <t>固定</t>
        </is>
      </c>
      <c r="C11" s="7" t="n">
        <v>0</v>
      </c>
      <c r="D11" s="21" t="inlineStr">
        <is>
          <t>要確認</t>
        </is>
      </c>
      <c r="E11" s="20" t="inlineStr">
        <is>
          <t>別予算（投資）扱いなら0のままでOK。回収を試算に含めるなら記入</t>
        </is>
      </c>
    </row>
    <row r="12">
      <c r="A12" s="4" t="inlineStr">
        <is>
          <t>広告費</t>
        </is>
      </c>
      <c r="B12" s="4" t="inlineStr">
        <is>
          <t>変動</t>
        </is>
      </c>
      <c r="C12" s="7" t="n">
        <v>0</v>
      </c>
      <c r="D12" s="4" t="inlineStr">
        <is>
          <t>確定(現状)</t>
        </is>
      </c>
      <c r="E12" s="20" t="inlineStr">
        <is>
          <t>現在ゼロ。スモークテスト開始時に記入</t>
        </is>
      </c>
    </row>
    <row r="13">
      <c r="A13" s="18" t="inlineStr">
        <is>
          <t>月次固定費 合計</t>
        </is>
      </c>
      <c r="B13" s="4" t="n"/>
      <c r="C13" s="22">
        <f>SUM(C5:C12)</f>
        <v/>
      </c>
      <c r="D13" s="4" t="n"/>
      <c r="E13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3" t="inlineStr">
        <is>
          <t>月別の実予約実績（source/予約数.csv・予約番号あり・返却日ベース、2026-06-11時点）</t>
        </is>
      </c>
    </row>
    <row r="2">
      <c r="A2" s="12" t="inlineStr">
        <is>
          <t>月</t>
        </is>
      </c>
      <c r="B2" s="12" t="inlineStr">
        <is>
          <t>完了予約</t>
        </is>
      </c>
      <c r="C2" s="12" t="inlineStr">
        <is>
          <t>手数料収入(実額)</t>
        </is>
      </c>
      <c r="D2" s="12" t="inlineStr">
        <is>
          <t>推定GMV</t>
        </is>
      </c>
      <c r="E2" s="12" t="inlineStr">
        <is>
          <t>メモ</t>
        </is>
      </c>
    </row>
    <row r="3">
      <c r="A3" s="4" t="inlineStr">
        <is>
          <t>2025-10</t>
        </is>
      </c>
      <c r="B3" s="17" t="n">
        <v>1</v>
      </c>
      <c r="C3" s="15" t="n">
        <v>3465</v>
      </c>
      <c r="D3" s="15">
        <f>IF(B3=0,0,C3/IF(A3&lt;"2026-05",0.1,0.15))</f>
        <v/>
      </c>
      <c r="E3" s="4" t="inlineStr">
        <is>
          <t>実予約4・キャンセル3</t>
        </is>
      </c>
    </row>
    <row r="4">
      <c r="A4" s="4" t="inlineStr">
        <is>
          <t>2025-11</t>
        </is>
      </c>
      <c r="B4" s="17" t="n">
        <v>4</v>
      </c>
      <c r="C4" s="15" t="n">
        <v>12980</v>
      </c>
      <c r="D4" s="15">
        <f>IF(B4=0,0,C4/IF(A4&lt;"2026-05",0.1,0.15))</f>
        <v/>
      </c>
      <c r="E4" s="4" t="inlineStr"/>
    </row>
    <row r="5">
      <c r="A5" s="4" t="inlineStr">
        <is>
          <t>2025-12</t>
        </is>
      </c>
      <c r="B5" s="17" t="n">
        <v>0</v>
      </c>
      <c r="C5" s="15" t="n">
        <v>0</v>
      </c>
      <c r="D5" s="15">
        <f>IF(B5=0,0,C5/IF(A5&lt;"2026-05",0.1,0.15))</f>
        <v/>
      </c>
      <c r="E5" s="4" t="inlineStr"/>
    </row>
    <row r="6">
      <c r="A6" s="4" t="inlineStr">
        <is>
          <t>2026-01</t>
        </is>
      </c>
      <c r="B6" s="17" t="n">
        <v>0</v>
      </c>
      <c r="C6" s="15" t="n">
        <v>0</v>
      </c>
      <c r="D6" s="15">
        <f>IF(B6=0,0,C6/IF(A6&lt;"2026-05",0.1,0.15))</f>
        <v/>
      </c>
      <c r="E6" s="4" t="inlineStr"/>
    </row>
    <row r="7">
      <c r="A7" s="4" t="inlineStr">
        <is>
          <t>2026-02</t>
        </is>
      </c>
      <c r="B7" s="17" t="n">
        <v>5</v>
      </c>
      <c r="C7" s="15" t="n">
        <v>4345</v>
      </c>
      <c r="D7" s="15">
        <f>IF(B7=0,0,C7/IF(A7&lt;"2026-05",0.1,0.15))</f>
        <v/>
      </c>
      <c r="E7" s="4" t="inlineStr"/>
    </row>
    <row r="8">
      <c r="A8" s="4" t="inlineStr">
        <is>
          <t>2026-03</t>
        </is>
      </c>
      <c r="B8" s="17" t="n">
        <v>5</v>
      </c>
      <c r="C8" s="15" t="n">
        <v>4730</v>
      </c>
      <c r="D8" s="15">
        <f>IF(B8=0,0,C8/IF(A8&lt;"2026-05",0.1,0.15))</f>
        <v/>
      </c>
      <c r="E8" s="4" t="inlineStr">
        <is>
          <t>キャンセル1</t>
        </is>
      </c>
    </row>
    <row r="9">
      <c r="A9" s="4" t="inlineStr">
        <is>
          <t>2026-04</t>
        </is>
      </c>
      <c r="B9" s="17" t="n">
        <v>9</v>
      </c>
      <c r="C9" s="15" t="n">
        <v>13823</v>
      </c>
      <c r="D9" s="15">
        <f>IF(B9=0,0,C9/IF(A9&lt;"2026-05",0.1,0.15))</f>
        <v/>
      </c>
      <c r="E9" s="4" t="inlineStr">
        <is>
          <t>実予約15・キャンセル6・ここまで手数料10%</t>
        </is>
      </c>
    </row>
    <row r="10">
      <c r="A10" s="4" t="inlineStr">
        <is>
          <t>2026-05</t>
        </is>
      </c>
      <c r="B10" s="17" t="n">
        <v>21</v>
      </c>
      <c r="C10" s="15" t="n">
        <v>32175</v>
      </c>
      <c r="D10" s="15">
        <f>IF(B10=0,0,C10/IF(A10&lt;"2026-05",0.1,0.15))</f>
        <v/>
      </c>
      <c r="E10" s="4" t="inlineStr">
        <is>
          <t>実予約28・キャンセル5・15%適用開始</t>
        </is>
      </c>
    </row>
    <row r="11">
      <c r="A11" s="4" t="inlineStr">
        <is>
          <t>2026-06</t>
        </is>
      </c>
      <c r="B11" s="17" t="n">
        <v>4</v>
      </c>
      <c r="C11" s="15" t="n">
        <v>15412</v>
      </c>
      <c r="D11" s="15">
        <f>IF(B11=0,0,C11/IF(A11&lt;"2026-05",0.1,0.15))</f>
        <v/>
      </c>
      <c r="E11" s="4" t="inlineStr">
        <is>
          <t>6/11時点・大口傾向</t>
        </is>
      </c>
    </row>
    <row r="12">
      <c r="A12" s="18" t="inlineStr">
        <is>
          <t>累計</t>
        </is>
      </c>
      <c r="B12" s="14">
        <f>SUM(B3:B11)</f>
        <v/>
      </c>
      <c r="C12" s="9">
        <f>SUM(C3:C11)</f>
        <v/>
      </c>
      <c r="D12" s="9">
        <f>SUM(D3:D11)</f>
        <v/>
      </c>
      <c r="E12" s="4" t="n"/>
    </row>
    <row r="13"/>
    <row r="14"/>
    <row r="15">
      <c r="A15" s="2" t="inlineStr">
        <is>
          <t>実態: 完了49件(手数料記録100%) / キャンセル16件(23%) / 店頭決済43件¥76,150が請求済み=いいえ / 予約実績は20/52店舗のみ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2026-06-11T03:55:38Z</dcterms:created>
  <dcterms:modified xsi:type="dcterms:W3CDTF">2026-06-11T07:00:13Z</dcterms:modified>
</cp:coreProperties>
</file>