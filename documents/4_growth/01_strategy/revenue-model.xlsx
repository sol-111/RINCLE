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shoki.seino/Documents/rincle/documents/4_growth/01_strategy/"/>
    </mc:Choice>
  </mc:AlternateContent>
  <xr:revisionPtr revIDLastSave="0" documentId="13_ncr:1_{C6FB0F32-4A06-DA47-A591-2CEBEA7A8FB3}" xr6:coauthVersionLast="47" xr6:coauthVersionMax="47" xr10:uidLastSave="{00000000-0000-0000-0000-000000000000}"/>
  <bookViews>
    <workbookView xWindow="0" yWindow="600" windowWidth="33600" windowHeight="20400" activeTab="2" xr2:uid="{00000000-000D-0000-FFFF-FFFF00000000}"/>
  </bookViews>
  <sheets>
    <sheet name="はじめに" sheetId="1" r:id="rId1"/>
    <sheet name="実態サマリー" sheetId="2" r:id="rId2"/>
    <sheet name="収益の論点" sheetId="3" r:id="rId3"/>
    <sheet name="コスト棚卸し" sheetId="4" r:id="rId4"/>
    <sheet name="試算モデル" sheetId="5" r:id="rId5"/>
    <sheet name="月別実績" sheetId="6" r:id="rId6"/>
    <sheet name="KPIツリー" sheetId="7" r:id="rId7"/>
    <sheet name="KPI計画" sheetId="8" r:id="rId8"/>
    <sheet name="KPI進捗" sheetId="9" r:id="rId9"/>
    <sheet name="需給分析" sheetId="10" r:id="rId10"/>
    <sheet name="確認リスト" sheetId="11" r:id="rId11"/>
    <sheet name="出典と経緯"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 i="9" l="1"/>
  <c r="G15" i="9"/>
  <c r="J14" i="9"/>
  <c r="G14" i="9"/>
  <c r="H12" i="9"/>
  <c r="J12" i="9" s="1"/>
  <c r="F12" i="9"/>
  <c r="G12" i="9" s="1"/>
  <c r="J11" i="9"/>
  <c r="G11" i="9"/>
  <c r="H10" i="9"/>
  <c r="J10" i="9" s="1"/>
  <c r="F10" i="9"/>
  <c r="G10" i="9" s="1"/>
  <c r="H8" i="9"/>
  <c r="J8" i="9" s="1"/>
  <c r="F8" i="9"/>
  <c r="G8" i="9" s="1"/>
  <c r="B14" i="8"/>
  <c r="B19" i="8" s="1"/>
  <c r="D12" i="6"/>
  <c r="C12" i="6"/>
  <c r="B12" i="6"/>
  <c r="D11" i="6"/>
  <c r="D10" i="6"/>
  <c r="D9" i="6"/>
  <c r="D8" i="6"/>
  <c r="D7" i="6"/>
  <c r="D6" i="6"/>
  <c r="D5" i="6"/>
  <c r="D4" i="6"/>
  <c r="D3" i="6"/>
  <c r="E29" i="5"/>
  <c r="D29" i="5"/>
  <c r="C29" i="5"/>
  <c r="B29" i="5"/>
  <c r="E28" i="5"/>
  <c r="D28" i="5"/>
  <c r="C28" i="5"/>
  <c r="B28" i="5"/>
  <c r="E27" i="5"/>
  <c r="D27" i="5"/>
  <c r="C27" i="5"/>
  <c r="B27" i="5"/>
  <c r="E26" i="5"/>
  <c r="D26" i="5"/>
  <c r="C26" i="5"/>
  <c r="B26" i="5"/>
  <c r="E25" i="5"/>
  <c r="D25" i="5"/>
  <c r="C25" i="5"/>
  <c r="B25" i="5"/>
  <c r="E24" i="5"/>
  <c r="D24" i="5"/>
  <c r="C24" i="5"/>
  <c r="B24" i="5"/>
  <c r="E23" i="5"/>
  <c r="D23" i="5"/>
  <c r="C23" i="5"/>
  <c r="B23" i="5"/>
  <c r="E22" i="5"/>
  <c r="D22" i="5"/>
  <c r="C22" i="5"/>
  <c r="B22" i="5"/>
  <c r="B14" i="5"/>
  <c r="B13" i="5"/>
  <c r="B12" i="5"/>
  <c r="C13" i="4"/>
  <c r="G23" i="8" s="1"/>
  <c r="F6" i="9" l="1"/>
  <c r="G6" i="9" s="1"/>
  <c r="B15" i="8"/>
  <c r="B16" i="8" s="1"/>
  <c r="F9" i="9" s="1"/>
  <c r="G9" i="9" s="1"/>
  <c r="B23" i="8"/>
  <c r="B24" i="8" s="1"/>
  <c r="F7" i="9"/>
  <c r="G7" i="9" s="1"/>
  <c r="C23" i="8"/>
  <c r="B20" i="8"/>
  <c r="F13" i="9" s="1"/>
  <c r="G13" i="9" s="1"/>
  <c r="D23" i="8"/>
  <c r="C14" i="8"/>
  <c r="E23" i="8"/>
  <c r="B9" i="5"/>
  <c r="B16" i="5" s="1"/>
  <c r="B17" i="5" s="1"/>
  <c r="F23" i="8"/>
  <c r="B15" i="5" l="1"/>
  <c r="C19" i="8"/>
  <c r="D14" i="8"/>
  <c r="C15" i="8"/>
  <c r="C16" i="8" s="1"/>
  <c r="H9" i="9" s="1"/>
  <c r="J9" i="9" s="1"/>
  <c r="C20" i="8"/>
  <c r="H13" i="9" s="1"/>
  <c r="J13" i="9" s="1"/>
  <c r="H7" i="9"/>
  <c r="J7" i="9" s="1"/>
  <c r="E14" i="8" l="1"/>
  <c r="D20" i="8"/>
  <c r="D15" i="8"/>
  <c r="D16" i="8" s="1"/>
  <c r="D19" i="8"/>
  <c r="D24" i="8" s="1"/>
  <c r="C24" i="8"/>
  <c r="H6" i="9"/>
  <c r="J6" i="9" s="1"/>
  <c r="E20" i="8" l="1"/>
  <c r="E15" i="8"/>
  <c r="E16" i="8" s="1"/>
  <c r="E19" i="8"/>
  <c r="E24" i="8" s="1"/>
  <c r="F14" i="8"/>
  <c r="F15" i="8" l="1"/>
  <c r="F16" i="8" s="1"/>
  <c r="F19" i="8"/>
  <c r="F24" i="8" s="1"/>
  <c r="G14" i="8"/>
  <c r="F20" i="8"/>
  <c r="G15" i="8" l="1"/>
  <c r="G16" i="8" s="1"/>
  <c r="G19" i="8"/>
  <c r="G24" i="8" s="1"/>
  <c r="G20" i="8"/>
</calcChain>
</file>

<file path=xl/sharedStrings.xml><?xml version="1.0" encoding="utf-8"?>
<sst xmlns="http://schemas.openxmlformats.org/spreadsheetml/2006/main" count="675" uniqueCount="614">
  <si>
    <t>RINCLE 月次コスト構造の棚卸し</t>
  </si>
  <si>
    <t>黄色セル＝クライアント確認後に実数を記入。合計は「試算モデル」シートの固定費(B9)に自動連動</t>
  </si>
  <si>
    <t>項目</t>
  </si>
  <si>
    <t>分類</t>
  </si>
  <si>
    <t>月額</t>
  </si>
  <si>
    <t>状態</t>
  </si>
  <si>
    <t>メモ</t>
  </si>
  <si>
    <t>Bubble Growthプラン（年契約）</t>
  </si>
  <si>
    <t>固定</t>
  </si>
  <si>
    <t>ほぼ確定</t>
  </si>
  <si>
    <t>$119/月×約150円。為替と契約明細で要最終確認</t>
  </si>
  <si>
    <t>独自ドメイン（rincle.co.jp）</t>
  </si>
  <si>
    <t>仮置き</t>
  </si>
  <si>
    <t>年額を12分割した概算</t>
  </si>
  <si>
    <t>Pay.jp 月額固定費</t>
  </si>
  <si>
    <t>確定</t>
  </si>
  <si>
    <t>月額0円・従量のみ。カード手数料3.5%は店舗負担</t>
  </si>
  <si>
    <t>運営人件費（予約対応・店舗サポート）</t>
  </si>
  <si>
    <t>確定(6/12)</t>
  </si>
  <si>
    <t>現在は無給で運営（増永さん談・2026-06-12定例）。給与計上を始めたらここを更新</t>
  </si>
  <si>
    <t>メール配信（SendGrid等Bubble外のツール）</t>
  </si>
  <si>
    <t>要確認</t>
  </si>
  <si>
    <t>Bubble標準のみなら0円</t>
  </si>
  <si>
    <t>会計・請求・その他SaaS</t>
  </si>
  <si>
    <t>請求オペを始める場合はここに追加</t>
  </si>
  <si>
    <t>開発・保守委託費</t>
  </si>
  <si>
    <t>別予算（投資）扱いなら0のままでOK。回収を試算に含めるなら記入</t>
  </si>
  <si>
    <t>広告費</t>
  </si>
  <si>
    <t>変動</t>
  </si>
  <si>
    <t>確定(現状)</t>
  </si>
  <si>
    <t>現在ゼロ。スモークテスト開始時に記入</t>
  </si>
  <si>
    <t>月次固定費 合計</t>
  </si>
  <si>
    <t>RINCLE 収益モデル — この資料の読み方ガイド</t>
  </si>
  <si>
    <t>この資料は「RINCLE（スポーツバイクレンタル事業）は、もうかる仕組みになっているか？ どうすればもうかるようになるか？」に答えるためのExcelです。本番データベースと決済サービス（Pay.jp）の実物のデータだけを使って作られており、推測や印象ではなく事実で議論するための土台になります。マーケティングや会計の知識がなくても読めるように作ってあります（分からない言葉は一番下の用語辞典へ）。</t>
  </si>
  <si>
    <t>このExcelが収益分析の「正本」（いちばん正しい元の資料）です。作成日: 2026-06-11 / 数字の根拠はすべて「出典と経緯」シートに記録されています。</t>
  </si>
  <si>
    <t>■ 全体の構成 — 12シートは4つのグループでできている</t>
  </si>
  <si>
    <t>資料全体は「①現状を知る → ②計算する → ③目標を立てて追いかける」という流れで並んでいて、それを「④裏付け」グループが支えています。初めて読む人は上から順に。毎月の運用では「KPI進捗」だけ触れば回ります。</t>
  </si>
  <si>
    <t>① 現状を知る</t>
  </si>
  <si>
    <t>実態サマリー / 収益の論点 / 需給分析</t>
  </si>
  <si>
    <t>いま何が起きているか・何が問題か</t>
  </si>
  <si>
    <t>② 計算する</t>
  </si>
  <si>
    <t>コスト棚卸し / 試算モデル</t>
  </si>
  <si>
    <t>いくらかかって、何件でトントンか</t>
  </si>
  <si>
    <t>③ 目標を立てて追う</t>
  </si>
  <si>
    <t>KPIツリー / KPI計画 / KPI進捗</t>
  </si>
  <si>
    <t>どこを直すと伸びるか・目標と実績の管理</t>
  </si>
  <si>
    <t>④ 裏付け</t>
  </si>
  <si>
    <t>月別実績 / 確認リスト / 出典と経緯</t>
  </si>
  <si>
    <t>生の記録・聞くべきこと・数字の出どころ</t>
  </si>
  <si>
    <t>■ マスの色のルール（全シート共通）</t>
  </si>
  <si>
    <t>黄色のマス</t>
  </si>
  <si>
    <t>自由に書き換えてOK。「前提」や「記入欄」。ここを変えると関係する計算が全部自動で変わる</t>
  </si>
  <si>
    <t>青色のマス</t>
  </si>
  <si>
    <t>自動計算。数式が入っているので触らない（壊しても直せるので焦らなくて大丈夫）</t>
  </si>
  <si>
    <t>ピンクのマス</t>
  </si>
  <si>
    <t>「まだ確認できていない・仮置き・要注意」の印。本当のことが分かったら更新する</t>
  </si>
  <si>
    <t>■ 各シートの説明（目的・何を管理・いつ使う・見方）</t>
  </si>
  <si>
    <t>シート</t>
  </si>
  <si>
    <t>目的（なぜあるか）</t>
  </si>
  <si>
    <t>何を管理しているか</t>
  </si>
  <si>
    <t>いつ使う・いつ更新する</t>
  </si>
  <si>
    <t>見方のポイント</t>
  </si>
  <si>
    <t>実態サマリー</t>
  </si>
  <si>
    <t>「RINCLEは今どうなってる？」に1枚で答える。会議の出発点</t>
  </si>
  <si>
    <t>データで確定した事実: 手数料15%・店舗54・利用者91人・実予約70件・実入金¥8,690。それとシステムのデータ異常（バグ）4件</t>
  </si>
  <si>
    <t>会議の冒頭での現状共有。新しい関係者への説明。大きな事実が変わったら更新</t>
  </si>
  <si>
    <t>最重要は「実入金¥8,690」— 8ヶ月の売上が約9千円という現在地。ここから全ての話が始まる</t>
  </si>
  <si>
    <t>収益の論点</t>
  </si>
  <si>
    <t>「なぜもうかっていないか」と「どう直すか」の選択肢を示す。意思決定のための材料</t>
  </si>
  <si>
    <t>問題4つ（論点①〜④）とそれぞれの打ち手。最大の論点①=店頭決済の手数料¥76,150が未回収</t>
  </si>
  <si>
    <t>クライアントとの定例で「回収をどうするか」を決めるとき</t>
  </si>
  <si>
    <t>打ち手は3案併記してある。どれを選ぶかはクライアントの経営判断（こちらは選択肢と根拠を出す役）</t>
  </si>
  <si>
    <t>コスト棚卸し</t>
  </si>
  <si>
    <t>毎月出ていくお金を確定させる。「何件でトントンか」の分母になる</t>
  </si>
  <si>
    <t>固定費の内訳リスト（サーバー代・人件費など）。確定/仮置き/要確認の状態つき</t>
  </si>
  <si>
    <t>クライアントから固定費の回答が来たら黄色マスに実数を記入。新しい固定費（広告など）が発生したら行を足す</t>
  </si>
  <si>
    <t>合計は「試算モデル」の固定費に自動でつながっている。仮置きの人件費6万円が最大の未確定要素</t>
  </si>
  <si>
    <t>試算モデル</t>
  </si>
  <si>
    <t>「もしも」を計算する電卓。会議中の質問にその場で答えるための道具</t>
  </si>
  <si>
    <t>前提5つ（手数料率/単価/件数/徴収率/固定費）と、月間損益・損益分岐の計算。下に件数×固定費の早見表</t>
  </si>
  <si>
    <t>会議で「予約が100件になったら？」「人件費を増やしたら？」と聞かれたとき、黄色マスを変えて見せる</t>
  </si>
  <si>
    <t>いくら数字をいじっても記録（月別実績）は壊れない。安心して遊んでいい</t>
  </si>
  <si>
    <t>月別実績</t>
  </si>
  <si>
    <t>過去の事実の記録。トレンド（伸びてるか）を見る</t>
  </si>
  <si>
    <t>月ごとの完了予約数と手数料収入の実額（2025-10〜）</t>
  </si>
  <si>
    <t>月1回、月初にDBエクスポートを見て前月の行を追記。過去の行は書き換えない</t>
  </si>
  <si>
    <t>2月以降「約2ヶ月で倍」のペースが本物かをここで確認し続ける</t>
  </si>
  <si>
    <t>KPIツリー</t>
  </si>
  <si>
    <t>「どこを直せば収益が増えるか」の地図。施策の優先順位はここで決める</t>
  </si>
  <si>
    <t>収益を掛け算に分解した構造（収益=セッション×CVR×単価×手数料率×回収率）と、各部品の現在値・担当施策</t>
  </si>
  <si>
    <t>新しい施策を思いついたとき（必ず「どの部品を動かす施策か」を1つ指定するルール）。KPIが赤になったとき原因を探しに来る</t>
  </si>
  <si>
    <t>★印が2大ボトルネック: 回収率4%と流入700IP/月。逆にCVR4%と手数料15%は健全なので触らない</t>
  </si>
  <si>
    <t>KPI計画</t>
  </si>
  <si>
    <t>目標数字の設計図。クライアントと「いくらを目指すか」を握るための叩き台</t>
  </si>
  <si>
    <t>前提（成長率+20%/月など）と7〜12月の月次目標。KGI案: 12月に実入金¥120,000・10月に損益分岐</t>
  </si>
  <si>
    <t>クライアントとの目標交渉のとき。前提の黄色マスを変えると計画全体が自動で引き直される</t>
  </si>
  <si>
    <t>ピンクの注記2つは必読: ①目標が確定したら進捗シートに焼き付ける手順 ②この計画は「回収できていない」前提（確認#1の答えで変わる）</t>
  </si>
  <si>
    <t>KPI進捗</t>
  </si>
  <si>
    <t>計画と現実のズレを毎月検知する。このExcelの運用の本体</t>
  </si>
  <si>
    <t>KGI+KPI6つの月次の目標・実績・達成率。下にKGIの選定理由とKGI→KSF→KPIの対応表（なぜこの6個を測るのか）</t>
  </si>
  <si>
    <t>月1回、実績を記入（15分）。達成率は自動で緑/黄/赤に色分けされる</t>
  </si>
  <si>
    <t>赤が続くKPIが出たら「KPIツリー」シートに戻って原因の部品と施策を特定する、という往復で使う</t>
  </si>
  <si>
    <t>需給分析</t>
  </si>
  <si>
    <t>「店は足りてるのにお客が来ていない」という戦略判断の根拠</t>
  </si>
  <si>
    <t>供給側（店舗54・自転車369台・全店カード決済可）と需要側（利用者91人・月700IP）のバランス、予約の関西偏在</t>
  </si>
  <si>
    <t>集客施策の地域優先順位を決めるとき。ヒアリング対象店舗の選定（実施済み）</t>
  </si>
  <si>
    <t>象徴的な1行=「しまなみ海道の玄関口・尾道で22台が予約ゼロ」。需要づくりが全ての鍵</t>
  </si>
  <si>
    <t>確認リスト</t>
  </si>
  <si>
    <t>データでは分からないことを、クライアントに聞いて埋める管理表</t>
  </si>
  <si>
    <t>質問6つと回答記入欄（黄色）。最重要は#1「店頭決済の手数料を回収した実績はあるか」</t>
  </si>
  <si>
    <t>クライアント定例の前に見る。回答が来たら黄色に記入し、関係するシート（コスト棚卸し・KPI計画など）へ反映</t>
  </si>
  <si>
    <t>#1の答えでこの資料の結論が大きく変わる（KPI計画のピンク注記参照）。最初に聞くこと</t>
  </si>
  <si>
    <t>出典と経緯</t>
  </si>
  <si>
    <t>「この数字どこから？」に全部答える。資料の信頼性の担保</t>
  </si>
  <si>
    <t>データソース一覧・検証の訂正履歴（途中の誤分析も隠さず記録）・主要数値15個の出典対応表・今後の調査余地</t>
  </si>
  <si>
    <t>数字の根拠を聞かれたとき。半年後に見返して「なぜこうしたんだっけ」を思い出すとき</t>
  </si>
  <si>
    <t>訂正履歴は失敗も含めて残してある — 「一度疑って検証済み」という意味で、数字の信頼性はむしろ高い</t>
  </si>
  <si>
    <t>■ 毎月の運用（月初に15分）</t>
  </si>
  <si>
    <t>1. BubbleのDataタブから予約・ユーザーをCSVエクスポートし、source/ フォルダに保存（このフォルダはGitHubに上がらない設定済み）</t>
  </si>
  <si>
    <t>2. Pay.jp管理画面の「入金一覧」をスクショして source/payjp/ へ</t>
  </si>
  <si>
    <t>3. 「月別実績」に前月の行を追記（完了予約数・手数料収入）</t>
  </si>
  <si>
    <t>4. 「KPI進捗」に前月の実績を記入 → 達成率の色を見る</t>
  </si>
  <si>
    <t>5. 赤いKPIがあれば「KPIツリー」で原因の部品を特定 → 対応する施策を打つ（これが月次レビュー）</t>
  </si>
  <si>
    <t>■ イベントが起きたらやること</t>
  </si>
  <si>
    <t>クライアントから回答が来た</t>
  </si>
  <si>
    <t>「確認リスト」の黄色に記入 → 固定費なら「コスト棚卸し」へ、回収実績の有無なら「KPI計画」のピンク注記の手順へ</t>
  </si>
  <si>
    <t>KGI目標をクライアントと握れた</t>
  </si>
  <si>
    <t>「KPI進捗」の目標列を値貼り付けで固定（KPI計画シートのピンク注記に手順あり）</t>
  </si>
  <si>
    <t>GA4を設置した</t>
  </si>
  <si>
    <t>「KPI進捗」のKPI3をユニークIP→GA4ユーザー数に切替、KPI4（Organic）の計測を開始</t>
  </si>
  <si>
    <t>■ 用語ミニ辞典</t>
  </si>
  <si>
    <t>KGI</t>
  </si>
  <si>
    <t>最終目標の数字（Key Goal Indicator）。この資料では「月間の実入金」。2026年12月に¥120,000が目標案</t>
  </si>
  <si>
    <t>KPI</t>
  </si>
  <si>
    <t>KGIに向かう途中経過を測る数字（Key Performance Indicator）。この資料では6個（完了予約数・回収率・セッション・Organic流入・CVR・稼働店舗数）</t>
  </si>
  <si>
    <t>KSF</t>
  </si>
  <si>
    <t>成功のカギになる要因を言葉で言ったもの（Key Success Factor）。「回収の仕組みを作る」「流入を作る」など4つ。KPIはKSFを数字にしたもの</t>
  </si>
  <si>
    <t>手数料率</t>
  </si>
  <si>
    <t>予約料金のうちRINCLEがもらう割合（15%）。1万円の予約でRINCLEに1,500円</t>
  </si>
  <si>
    <t>GMV</t>
  </si>
  <si>
    <t>お客さんが払ったお金の合計（流通総額）。RINCLEの売上ではない。RINCLEの取り分はGMV×15%</t>
  </si>
  <si>
    <t>回収率</t>
  </si>
  <si>
    <t>もらえるはずの手数料のうち、実際に受け取れた割合。カード決済は自動で入るが店頭決済分が未回収で、現状4%。これが最大の問題</t>
  </si>
  <si>
    <t>セッション</t>
  </si>
  <si>
    <t>サイトに来た訪問の数。今はアクセスログのユニークIP（≒来た人の数）で代用。GA4導入後は正確になる</t>
  </si>
  <si>
    <t>CVR</t>
  </si>
  <si>
    <t>来た人のうち予約まで至った割合（Conversion Rate）。RINCLEは約4%で健全。これが低いなら「サイトが悪い」、流入が少ないなら「集客が足りない」と切り分けられる</t>
  </si>
  <si>
    <t>固定費</t>
  </si>
  <si>
    <t>予約が0件でも毎月出ていくお金（サーバー代・人件費など）</t>
  </si>
  <si>
    <t>損益分岐</t>
  </si>
  <si>
    <t>入るお金と出るお金がトントンになるライン。「月◯件の予約があれば赤字じゃない」の◯件</t>
  </si>
  <si>
    <t>ユニットエコノミクス</t>
  </si>
  <si>
    <t>「予約1件あたりで見て、もうかる構造か？」を確かめる考え方。試算モデルシートがそれ</t>
  </si>
  <si>
    <t>迷ったら: 数字の意味が分からない→用語辞典 / 数字の出どころが知りたい→出典と経緯シート / 戦略の背景の読み物→ 01_strategy フォルダの各md（競合分析・課題と対策など）</t>
  </si>
  <si>
    <t>RINCLE の実態サマリー（データ検証済みの事実）</t>
  </si>
  <si>
    <t>分析日: 2026-06-11（本番データ）。出典・検証経緯は「出典と経緯」シート参照</t>
  </si>
  <si>
    <t>■ 前提となる事実</t>
  </si>
  <si>
    <t>値</t>
  </si>
  <si>
    <t>出所・備考</t>
  </si>
  <si>
    <t>プラットフォーム手数料</t>
  </si>
  <si>
    <t>15%（2026-04末〜05に10%から切替）</t>
  </si>
  <si>
    <t>5月の完了予約21件すべて合計金額×15%と一致を確認</t>
  </si>
  <si>
    <t>カード手数料 約3.5%</t>
  </si>
  <si>
    <t>店舗負担</t>
  </si>
  <si>
    <t>決済フローAs-Is</t>
  </si>
  <si>
    <t>店舗側の合計負担率</t>
  </si>
  <si>
    <t>18.5%</t>
  </si>
  <si>
    <t>OTA相場（10〜20%・決済込み）の上限相当。追加値上げの余地は実質なし</t>
  </si>
  <si>
    <t>登録店舗数</t>
  </si>
  <si>
    <t>54店舗</t>
  </si>
  <si>
    <t>DBで確定。口頭の「100」は別の定義か誤伝</t>
  </si>
  <si>
    <t>登録利用者数</t>
  </si>
  <si>
    <t>91人（カード登録済み88人）</t>
  </si>
  <si>
    <t>users.csv</t>
  </si>
  <si>
    <t>実予約（累計）</t>
  </si>
  <si>
    <t>70件（完了49・キャンセル16・来客待ち5）</t>
  </si>
  <si>
    <t>残り51レコードは「仮情報」=未確定ドラフト</t>
  </si>
  <si>
    <t>RINCLEの実入金（全期間）</t>
  </si>
  <si>
    <t>¥8,690（+次回入金予定¥6,940）</t>
  </si>
  <si>
    <t>Pay.jp本番スクショで確定（売上一覧は全10件のみ）。※6/12判明: これはクレカ分のみで、店頭決済分は紙請求で別途回収済み（累計額は要突合）</t>
  </si>
  <si>
    <t>■ 予約レコード121件の内訳</t>
  </si>
  <si>
    <t>ステータス</t>
  </si>
  <si>
    <t>件数</t>
  </si>
  <si>
    <t>手数料</t>
  </si>
  <si>
    <t>返却済み（完了）</t>
  </si>
  <si>
    <t>全件記録あり（記録漏れゼロ）</t>
  </si>
  <si>
    <t>キャンセル</t>
  </si>
  <si>
    <t>なし（課金前キャンセルのため正常）</t>
  </si>
  <si>
    <t>来客待ち（未来の予約）</t>
  </si>
  <si>
    <t>なし（ライド開始時課金のため正常）</t>
  </si>
  <si>
    <t>仮情報（未確定ドラフト）</t>
  </si>
  <si>
    <t>なし（予約番号も未採番）</t>
  </si>
  <si>
    <t>■ 注目すべき率</t>
  </si>
  <si>
    <t>指標</t>
  </si>
  <si>
    <t>含意</t>
  </si>
  <si>
    <t>キャンセル率</t>
  </si>
  <si>
    <t>16/70 = 23%</t>
  </si>
  <si>
    <t>高い。理由の内訳が要確認（悪天候？）</t>
  </si>
  <si>
    <t>予約実績のある店舗</t>
  </si>
  <si>
    <t>20/52店舗</t>
  </si>
  <si>
    <t>32店舗は開設以来予約ゼロ（→需給分析シート）</t>
  </si>
  <si>
    <t>取り分/件（5月実測）</t>
  </si>
  <si>
    <t>¥1,532</t>
  </si>
  <si>
    <t>完了21件の平均。平均予約単価 ≈ ¥10,200</t>
  </si>
  <si>
    <t>■ データ異常（DB再構築・バグ修正への入力）</t>
  </si>
  <si>
    <t>・予約番号の重複: 1000000×3件・1000001×3件（採番ロジックのバグ疑い）</t>
  </si>
  <si>
    <t>・合計金額¥12,001が3件（¥12,000+1円。金額計算バグ疑い）</t>
  </si>
  <si>
    <t>・完全な空行が2件</t>
  </si>
  <si>
    <t>・延長料金に手数料が掛かっていない（延長3件・計¥23,650 → 約¥3,500の取りこぼし）</t>
  </si>
  <si>
    <t>収益の論点（優先度順）</t>
  </si>
  <si>
    <t>■ 論点① 店頭決済の手数料は「紙請求で回収済み」と判明（6/12定例）— 論点は未回収から『見える化』へ</t>
  </si>
  <si>
    <t>支払い方法</t>
  </si>
  <si>
    <t>手数料計</t>
  </si>
  <si>
    <t>請求済みフラグ</t>
  </si>
  <si>
    <t>クレジットカード決済</t>
  </si>
  <si>
    <t>はい（Pay.jpが自動分配）</t>
  </si>
  <si>
    <t>店頭決済</t>
  </si>
  <si>
    <t>¥76,150</t>
  </si>
  <si>
    <t>すべて「いいえ」</t>
  </si>
  <si>
    <t>・月次請求用の「手数料月ごと」テーブルは未使用（レコードなし）と確認済み</t>
  </si>
  <si>
    <t>・Pay.jp本番: 売上一覧は全期間で10件のみ・入金残高¥8,690 → 8ヶ月の実収入は約9千円で確定</t>
  </si>
  <si>
    <t>・構造問題: カード手数料3.5%は店舗負担のため、店舗には店頭決済に誘導する動機がある（88%が店頭決済）</t>
  </si>
  <si>
    <t>■ 打ち手の候補</t>
  </si>
  <si>
    <t>案</t>
  </si>
  <si>
    <t>内容</t>
  </si>
  <si>
    <t>評価</t>
  </si>
  <si>
    <t>備考</t>
  </si>
  <si>
    <t>現場キャッシュレス・クレジット1本化（増永さんの既定方針。6/12「現場も基本キャッシュなしでクレジットだけで1本でやろうかな」）</t>
  </si>
  <si>
    <t>最も確実</t>
  </si>
  <si>
    <t>延長・店頭オプション追加・当日予約もカード完結にする設計が前提。実現すれば紙請求は廃止でき、ブラックボックスも消える</t>
  </si>
  <si>
    <t>全額集約→手数料控除して振込+店舗月額課金</t>
  </si>
  <si>
    <t>器はある</t>
  </si>
  <si>
    <t>増永さんの構想（6/12）:「請求される」より「振り込まれる」方が店舗のやってる感が出て離脱防止になる。月額課金とセットで設計中</t>
  </si>
  <si>
    <t>紙請求額とDB記録の突合</t>
  </si>
  <si>
    <t>経営判断</t>
  </si>
  <si>
    <t>回収済み額を確認してKGIの実入金定義を「Pay.jp+銀行振込」に変更する（来週の認識合わせ）</t>
  </si>
  <si>
    <t>■ その他の論点</t>
  </si>
  <si>
    <t>論点</t>
  </si>
  <si>
    <t>② 手数料15%</t>
  </si>
  <si>
    <t>検証完了</t>
  </si>
  <si>
    <t>2026-05以降の全完了予約で15%を確認。問題なし</t>
  </si>
  <si>
    <t>③ 延長料金に手数料なし</t>
  </si>
  <si>
    <t>要修正</t>
  </si>
  <si>
    <t>延長分の15%（約¥3,500相当）が取れていない。DB再構築の決済ロジックで対応</t>
  </si>
  <si>
    <t>④ キャンセル率23%</t>
  </si>
  <si>
    <t>理由内訳が分かればキャンセルポリシー施策のコスト試算ができる</t>
  </si>
  <si>
    <t>RINCLE ユニットエコノミクス試算モデル</t>
  </si>
  <si>
    <t>黄色セル＝前提（自由に変更可） / 青セル＝自動計算。根拠は「出典と経緯」シート参照</t>
  </si>
  <si>
    <t>■ 前提（入力）</t>
  </si>
  <si>
    <t>契約15%・2026-05から実装も15%（全件照合済み）。4月以前は10%</t>
  </si>
  <si>
    <t>平均予約単価（GMV）</t>
  </si>
  <si>
    <t>実測: 5月の完了21件平均手数料¥1,532÷15%。6月は大口化で上昇傾向（参考¥25,700）</t>
  </si>
  <si>
    <t>月間予約件数</t>
  </si>
  <si>
    <t>実績: 2026年5月の完了予約（実予約28件、うちキャンセル5・来客待ち等）</t>
  </si>
  <si>
    <t>手数料の徴収率</t>
  </si>
  <si>
    <t>店頭決済分(88%)の月次回収が機能していない場合は0.12に（クレカ分のみ回収）</t>
  </si>
  <si>
    <t>月間固定費</t>
  </si>
  <si>
    <t>「コスト棚卸し」シートの合計に自動連動（仮置き含む。実数記入で更新される）</t>
  </si>
  <si>
    <t>■ 計算結果</t>
  </si>
  <si>
    <t>RINCLEの取り分 / 件</t>
  </si>
  <si>
    <t>月間GMV</t>
  </si>
  <si>
    <t>月間収益（徴収率込み）</t>
  </si>
  <si>
    <t>月間損益</t>
  </si>
  <si>
    <t>損益分岐に必要な予約数 / 月</t>
  </si>
  <si>
    <t>現状件数との倍率</t>
  </si>
  <si>
    <t>■ 月間損益マトリクス（行=月間予約件数、列=月間固定費）※手数料率・単価・徴収率は上の前提に連動</t>
  </si>
  <si>
    <t>件数＼固定費</t>
  </si>
  <si>
    <t>⚠ 論点: 店頭決済43件の手数料¥76,150が請求済み=いいえのまま。回収運用が要確認（「収益の論点」シート 論点①）</t>
  </si>
  <si>
    <t>月別の実予約実績（source/reserve.csv・予約番号あり・返却日ベース、2026-06-11時点）</t>
  </si>
  <si>
    <t>月</t>
  </si>
  <si>
    <t>完了予約</t>
  </si>
  <si>
    <t>手数料収入(実額)</t>
  </si>
  <si>
    <t>推定GMV</t>
  </si>
  <si>
    <t>2025-10</t>
  </si>
  <si>
    <t>実予約4・キャンセル3</t>
  </si>
  <si>
    <t>2025-11</t>
  </si>
  <si>
    <t>2025-12</t>
  </si>
  <si>
    <t>2026-01</t>
  </si>
  <si>
    <t>2026-02</t>
  </si>
  <si>
    <t>2026-03</t>
  </si>
  <si>
    <t>キャンセル1</t>
  </si>
  <si>
    <t>2026-04</t>
  </si>
  <si>
    <t>実予約15・キャンセル6・ここまで手数料10%</t>
  </si>
  <si>
    <t>2026-05</t>
  </si>
  <si>
    <t>実予約28・キャンセル5・15%適用開始</t>
  </si>
  <si>
    <t>2026-06</t>
  </si>
  <si>
    <t>6/11時点・大口傾向</t>
  </si>
  <si>
    <t>累計</t>
  </si>
  <si>
    <t>実態: 完了49件(手数料記録100%) / キャンセル16件(23%) / 店頭決済43件¥76,150が請求済み=いいえ / 予約実績は20/52店舗のみ</t>
  </si>
  <si>
    <t>KPIツリー — 収益の分解地図</t>
  </si>
  <si>
    <t>数字は2026年5月の実測。〔KGI〕〔KPI n〕は「KPI計画/進捗」シートで毎月追跡する指標</t>
  </si>
  <si>
    <t>★運用ルール: 施策を始める前に「この施策はツリーのどのノードを動かすためのものか」を必ず1つ指定する。指定できない施策は思いつきの可能性が高いので保留</t>
  </si>
  <si>
    <t>月間手数料収益〔KGI〕</t>
  </si>
  <si>
    <t>実入金¥1,320 / 記録上¥32,175</t>
  </si>
  <si>
    <t>目標: 2026-12に¥120,000（KPI計画シート・協議中）</t>
  </si>
  <si>
    <t>├─ GMV（流通総額）〔参考指標〕</t>
  </si>
  <si>
    <t>約¥215,000/月</t>
  </si>
  <si>
    <t>│   ├─ 完了予約数〔KPI1〕</t>
  </si>
  <si>
    <t>21件/月</t>
  </si>
  <si>
    <t>│   │   ├─ 実予約数</t>
  </si>
  <si>
    <t>28件/月</t>
  </si>
  <si>
    <t>│   │   │   ├─ セッション数〔KPI3〕 ★ボトルネック2</t>
  </si>
  <si>
    <t>約700ユニークIP/月</t>
  </si>
  <si>
    <t>12月に必要なのは約2,600/月（3.7倍）</t>
  </si>
  <si>
    <t>│   │   │   │   ├─ Organic Search〔KPI4〕</t>
  </si>
  <si>
    <t>ほぼゼロ</t>
  </si>
  <si>
    <t>GA4設置後に計測開始。現状インデックス2〜3頁</t>
  </si>
  <si>
    <t>│   │   │   │   ├─ Direct / Referral（ショップ経由）</t>
  </si>
  <si>
    <t>内訳未計測</t>
  </si>
  <si>
    <t>│   │   │   │   ├─ Social</t>
  </si>
  <si>
    <t>未運用</t>
  </si>
  <si>
    <t>│   │   │   │   └─ Paid</t>
  </si>
  <si>
    <t>¥0・未出稿</t>
  </si>
  <si>
    <t>│   │   │   └─ 予約CVR〔KPI5〕</t>
  </si>
  <si>
    <t>約4%</t>
  </si>
  <si>
    <t>健全水準。分母=流入が先</t>
  </si>
  <si>
    <t>│   │   └─ キャンセル率〔参考指標〕</t>
  </si>
  <si>
    <t>23%</t>
  </si>
  <si>
    <t>理由未把握（クライアント確認#2）</t>
  </si>
  <si>
    <t>│   └─ 平均予約単価</t>
  </si>
  <si>
    <t>約¥10,200</t>
  </si>
  <si>
    <t>6月は大口化で上昇傾向</t>
  </si>
  <si>
    <t>├─ 手数料率</t>
  </si>
  <si>
    <t>15%（2026-05〜・検証済み）</t>
  </si>
  <si>
    <t>店舗負担計18.5%＝上限。これ以上触らない</t>
  </si>
  <si>
    <t>└─ 回収率〔KPI2〕 ★ボトルネック1</t>
  </si>
  <si>
    <t>5月4% / 累計12%</t>
  </si>
  <si>
    <t>6/12判明: 紙請求で回収済み。論点は「システム外でブラックボックス」→ 入金の突合・見える化と、カードオンリー化の時期</t>
  </si>
  <si>
    <t>　　├─ クレカ決済比率</t>
  </si>
  <si>
    <t>完了49件中6件=12%</t>
  </si>
  <si>
    <t>Pay.jpが自動回収</t>
  </si>
  <si>
    <t>　　└─ 店頭決済の請求オペ</t>
  </si>
  <si>
    <t>未稼働</t>
  </si>
  <si>
    <t>DB上は未請求表示だが、実際は紙請求で回収済み（6/12）。累計額の突合が残タスク</t>
  </si>
  <si>
    <t>【供給側の健康指標・ツリーの土台】</t>
  </si>
  <si>
    <t>稼働店舗数〔KPI6〕</t>
  </si>
  <si>
    <t>5月: 12/54店</t>
  </si>
  <si>
    <t>当月予約1件以上の店舗数。減少はAnyca型供給崩壊の早期警報（在庫表示率66%とセット監視）</t>
  </si>
  <si>
    <t>【将来の第2柱・未稼働】</t>
  </si>
  <si>
    <t>物販送客収益 = 完了予約 × 購入相談率 × 成約率 × 送客フィー</t>
  </si>
  <si>
    <t>¥0</t>
  </si>
  <si>
    <t>送客フィー¥9,000〜15,000/台 = レンタル6〜10件分</t>
  </si>
  <si>
    <t>■ ノード別: 計測手段と対応する施策</t>
  </si>
  <si>
    <t>ノード</t>
  </si>
  <si>
    <t>現在値（2026-05）</t>
  </si>
  <si>
    <t>計測手段 / 動かす施策</t>
  </si>
  <si>
    <t>回収率 ★1 / KSF1</t>
  </si>
  <si>
    <t>4%</t>
  </si>
  <si>
    <t>Pay.jp入金 vs DB手数料 ／ オンライン決済のデフォルト化・必須化 or 月次請求オペ。過去分の扱いはクライアント判断</t>
  </si>
  <si>
    <t>セッション数 ★2 / KSF2</t>
  </si>
  <si>
    <t>約700IP/月</t>
  </si>
  <si>
    <t>GA4「ユーザー数」（Phase 1・自動） ／ SEO Phase 1 → SEO LP → GBP → OTA → 広告スモークテスト</t>
  </si>
  <si>
    <t>流入チャネル内訳</t>
  </si>
  <si>
    <t>未計測</t>
  </si>
  <si>
    <t>GA4 参照元/メディア ／ GA4設置が前提。2026-02のスパイク(1,603IP)の正体特定にも使う</t>
  </si>
  <si>
    <t>予約CVR / KSF4</t>
  </si>
  <si>
    <t>GA4「予約完了」CV÷セッション ／ Tier 1 UI群（検索バー・空き表示・料金明示・キャンセルポリシー）。回収率と流入が先</t>
  </si>
  <si>
    <t>予約フロー離脱点</t>
  </si>
  <si>
    <t>GA4「予約フローStep別」（Phase 2） ／ フォーム8項目以下・ゲスト予約</t>
  </si>
  <si>
    <t>DB予約ステータス ／ 理由判明後に設計（悪天候ポリシー等）</t>
  </si>
  <si>
    <t>平均予約単価</t>
  </si>
  <si>
    <t>DB（手数料÷15%） ／ 複数日・複数台レコメンド、E-Bike（在庫79台）の露出強化</t>
  </si>
  <si>
    <t>15%</t>
  </si>
  <si>
    <t>DB・Pay.jp照合済み ／ 触らない（店舗負担が既に上限）</t>
  </si>
  <si>
    <t>購入相談率</t>
  </si>
  <si>
    <t>GA4「購入相談クリック」（Phase 3） ／ 試乗履歴つき購入相談予約（T3-5）</t>
  </si>
  <si>
    <t>稼働店舗数 / KSF3</t>
  </si>
  <si>
    <t>12/54店</t>
  </si>
  <si>
    <t>DB予約の店舗ユニーク数/月 ／ 月次送客レポートメール先行実装・予約ゼロ店舗ヒアリング</t>
  </si>
  <si>
    <t>店舗の在庫表示率</t>
  </si>
  <si>
    <t>66%（非表示125/369台）</t>
  </si>
  <si>
    <t>DB貸出ステータス ／ ヒアリングで非表示理由を確認→表示化サポート。供給側の即効打</t>
  </si>
  <si>
    <t>■ 読み方: 今どこから手をつけるか</t>
  </si>
  <si>
    <t>1. 回収率（★1/KSF1）が最優先 — 最後の掛け算が0.04なので上流をいくら改善しても実入金は増えない。KPI計画は8月から回収100%が前提で、遅れるとKGIもズレる</t>
  </si>
  <si>
    <t>2. セッション数（★2/KSF2）が次 — CVR4%は健全なので流入を増やせば予約はほぼ比例。SEO Phase 1（無料・半日）から着火</t>
  </si>
  <si>
    <t>3. CVR改善（UI群/KSF4）はGA4で離脱点が見えてから — 勘で作らない</t>
  </si>
  <si>
    <t>4. 稼働店舗数（KSF3）は守り — 月次送客レポートで「待つ価値」を見せ続け、減少が始まったら最優先で対処</t>
  </si>
  <si>
    <t>5. 物販送客は予約数が伸びてから効く第2柱 — 今は「購入相談クリック」の計測準備だけ仕込む</t>
  </si>
  <si>
    <t>KPI計画（2026年下期・クライアント協議用の叩き台）</t>
  </si>
  <si>
    <t>黄色=前提（変えると計画全体が自動で引き直される）/ 青=自動計算。確定したらKPI進捗シートの目標に自動反映される</t>
  </si>
  <si>
    <t>■ 前提</t>
  </si>
  <si>
    <t>月次成長率（完了予約）</t>
  </si>
  <si>
    <t>実績は2ヶ月で倍（≒月+41%）。保守的に+20%で設定</t>
  </si>
  <si>
    <t>完了÷実予約（キャンセル等を引いた率）</t>
  </si>
  <si>
    <t>実績: 5月 21/28 = 75%</t>
  </si>
  <si>
    <t>予約CVR（実予約÷セッション）</t>
  </si>
  <si>
    <t>実績: 5月 約4%</t>
  </si>
  <si>
    <t>取り分/件</t>
  </si>
  <si>
    <t>実績: 4〜5月の手数料平均</t>
  </si>
  <si>
    <t>6月の完了予約 見込み</t>
  </si>
  <si>
    <t>6/11時点で4件完了+来客待ち。5月21件×1.2で仮置き</t>
  </si>
  <si>
    <t>■ 月次計画（7月〜12月）</t>
  </si>
  <si>
    <t>2026-07</t>
  </si>
  <si>
    <t>2026-08</t>
  </si>
  <si>
    <t>2026-09</t>
  </si>
  <si>
    <t>2026-10</t>
  </si>
  <si>
    <t>2026-11</t>
  </si>
  <si>
    <t>2026-12</t>
  </si>
  <si>
    <t>完了予約数〔KPI1〕</t>
  </si>
  <si>
    <t>実予約数（完了÷75%）</t>
  </si>
  <si>
    <t>必要セッション数〔KPI3〕</t>
  </si>
  <si>
    <t>うちOrganic Search（目安・手置き）〔KPI4〕</t>
  </si>
  <si>
    <t>回収率〔KPI2〕</t>
  </si>
  <si>
    <t>6/12更新: 回収自体はできていた。この行は「入金をPay.jp+銀行振込で捕捉できる率」。カードオンリー化の時期が決まれば100%固定にできる</t>
  </si>
  <si>
    <t>【KGI】月間実入金</t>
  </si>
  <si>
    <t>（参考）GMV</t>
  </si>
  <si>
    <t>損益分岐ライン（コスト棚卸しの固定費合計）</t>
  </si>
  <si>
    <t>判定（実入金≧固定費？）</t>
  </si>
  <si>
    <t>■ KGI案の言葉での要約</t>
  </si>
  <si>
    <t>「2026年12月に月間実入金¥120,000（中間マイルストーン: 10月に損益分岐クリア）」。前提は保守的成長+20%/月と8月からの全額回収。クライアントと協議の上、成長率・回収開始月のセル（黄色）を直して確定させる。確定後はこの数字がKPI進捗シートの目標に自動で入る</t>
  </si>
  <si>
    <t>⚠ クライアントと目標を確定したら: KPI進捗シートの目標列（計画へのリンク）をコピー→「値として貼り付け」で固定すること。固定後はこのシートをいじっても過去の目標は動かなくなる（このシートは来期計画の検討用として残す）</t>
  </si>
  <si>
    <t>✅ 確認#1は回答済み（6/12）: 店頭決済分は紙請求で回収できている → KGIの「実入金」定義を「Pay.jp入金+銀行振込（紙請求）」に変更する。回収率の行は「請求・入金の捕捉率」として運用（カードオンリー化が実現すれば自動的に100%）。紙請求の累計額の突合とKGI目標の合意は来週の実データ認識合わせで実施</t>
  </si>
  <si>
    <t>KPI進捗管理</t>
  </si>
  <si>
    <t>月1回更新（DBエクスポート+Pay.jp、所要15分）。目標は「KPI計画」シートから自動反映（青）。実績を入れると達成率が自動色分け</t>
  </si>
  <si>
    <t>※6月は6/11時点</t>
  </si>
  <si>
    <t>毎月どこから取るか</t>
  </si>
  <si>
    <t>2026-05 実績</t>
  </si>
  <si>
    <t>2026-06 実績</t>
  </si>
  <si>
    <t>目標</t>
  </si>
  <si>
    <t>実績</t>
  </si>
  <si>
    <t>達成率</t>
  </si>
  <si>
    <t>【KGI】月間手数料収益（実入金）</t>
  </si>
  <si>
    <t>Pay.jp入金一覧の当月内訳 + 銀行振込（紙請求）の入金額（6/12更新）</t>
  </si>
  <si>
    <t>—</t>
  </si>
  <si>
    <t>KPI1 完了予約数</t>
  </si>
  <si>
    <t>reserve.csv（ステータス=返却済み）</t>
  </si>
  <si>
    <t>KPI2 回収率（実入金÷手数料記録）</t>
  </si>
  <si>
    <t>（Pay.jp入金+銀行振込）÷ reserve.csvの手数料合計（6/12更新: 紙請求分を含める）</t>
  </si>
  <si>
    <t>KPI3 月間セッション</t>
  </si>
  <si>
    <t>access-logs.csvのユニークIP → GA4設置後は「ユーザー数」</t>
  </si>
  <si>
    <t>KPI4 Organic Search流入</t>
  </si>
  <si>
    <t>GA4 集客レポート（Phase 1設置後に計測開始）</t>
  </si>
  <si>
    <t>KPI5 予約CVR（実予約÷セッション）</t>
  </si>
  <si>
    <t>reserve.csv実予約 ÷ KPI3</t>
  </si>
  <si>
    <t>KPI6 稼働店舗数（当月予約あり）</t>
  </si>
  <si>
    <t>reserve.csvの店舗ユニーク数</t>
  </si>
  <si>
    <t>reserve.csv手数料合計 ÷ 15%</t>
  </si>
  <si>
    <t>（参考）キャンセル率</t>
  </si>
  <si>
    <t>reserve.csv（キャンセル÷実予約）</t>
  </si>
  <si>
    <t>（参考）新規利用者登録</t>
  </si>
  <si>
    <t>users.csv（当月のCreation Date）</t>
  </si>
  <si>
    <t>9月以降の列は8月の3列（目標/実績/達成率）をコピーして右に足す。KPI4はGA4設置後に「—」を実数に置き換える</t>
  </si>
  <si>
    <t>■ なぜKGIが「月間手数料収益（実入金）」なのか</t>
  </si>
  <si>
    <t>採用: 実入金</t>
  </si>
  <si>
    <t>実入金 = GMV × 手数料率15% × 回収率 の最終結果。今のRINCLEの2大ボトルネック（回収率4%・流入700IP/月）の両方を改善しないと動かない数字なので、これを最終目標に置くと努力の漏れがなくなる</t>
  </si>
  <si>
    <t>不採用: 完了予約数</t>
  </si>
  <si>
    <t>予約が増えても手数料を回収できていなければ売上ゼロのまま増える。実際に8ヶ月で予約70件・実入金¥8,690という「予約はあるのにお金がない」状態が起きた。KPI1として並走</t>
  </si>
  <si>
    <t>不採用: GMV（流通総額）</t>
  </si>
  <si>
    <t>マーケットプレイスの定番指標だが「お客さんが払ったお金の合計」であって「RINCLEに入ったお金」ではない。回収問題がある今はKGIに不適。参考指標として並走</t>
  </si>
  <si>
    <t>将来の見直し条件</t>
  </si>
  <si>
    <t>回収問題が解決して回収率が安定的に100%になったら、実入金はGMV×15%と同じ意味になる。その時点でKGIをGMVに切り替えてよい（プラットフォームの成長そのものを追う段階に移行）</t>
  </si>
  <si>
    <t>決定日: 2026-06-11（候補3案の比較から選定）</t>
  </si>
  <si>
    <t>■ KGI → KSF → KPI の対応（なぜこの6個を測るのか）</t>
  </si>
  <si>
    <t>KSF（成功のカギ・言葉）</t>
  </si>
  <si>
    <t>なぜカギなのか</t>
  </si>
  <si>
    <t>測るKPI</t>
  </si>
  <si>
    <t>KSF1: 手数料を確実に回収する仕組みを作る</t>
  </si>
  <si>
    <t>売上の88%（店頭決済分）が回収されずに消えている。ここを塞がない限り、予約が何倍になっても実入金はほぼ増えない</t>
  </si>
  <si>
    <t>KPI2 回収率</t>
  </si>
  <si>
    <t>KSF2: サイトに人を連れてくる（SEO・店舗経由・OTA）</t>
  </si>
  <si>
    <t>CVR4%は健全なので、流入さえ増えれば予約はほぼ比例して増える構造。12月に必要なセッションは現在の3.7倍（2,567）</t>
  </si>
  <si>
    <t>KPI3 セッション / KPI4 Organic流入</t>
  </si>
  <si>
    <t>KSF3: 店舗網を死なせない（待っている52店の維持・活性化）</t>
  </si>
  <si>
    <t>42店は当月予約ゼロが常態。離脱が始まると供給網ごと崩壊する（Anycaの教訓）。月次送客レポートと非表示在庫の解消で「待つ価値」を見せ続ける</t>
  </si>
  <si>
    <t>KPI6 稼働店舗数</t>
  </si>
  <si>
    <t>KSF4: 予約体験の質を落とさない</t>
  </si>
  <si>
    <t>成長の前提条件。CVRが下がると流入を増やしても無駄になる（攻めではなく守りのKSF）</t>
  </si>
  <si>
    <t>KPI5 予約CVR / KPI1 完了予約数</t>
  </si>
  <si>
    <t>※ KPI1（完了予約数）はKSF2〜4すべての結果として動く「結果指標」。KSFの詳しい分解は「KPIツリー」シートを参照</t>
  </si>
  <si>
    <t>需給バランス（2026-06-11 全テーブル解析）</t>
  </si>
  <si>
    <t>■ 供給側: 思ったより整っている</t>
  </si>
  <si>
    <t>自転車登録</t>
  </si>
  <si>
    <t>369台</t>
  </si>
  <si>
    <t>ロード167 / ミニベロ103 / クロス74 / MTB20 / キッズ5。E-Bike 79台</t>
  </si>
  <si>
    <t>自転車を登録済みの店舗</t>
  </si>
  <si>
    <t>50/54店</t>
  </si>
  <si>
    <t>ゼロは4店のみ（うち3店は店名に「準備中」明記）</t>
  </si>
  <si>
    <t>Pay.jp審査通過（カード決済可）</t>
  </si>
  <si>
    <t>54/54店（全店）</t>
  </si>
  <si>
    <t>「ユーザー非表示」の自転車</t>
  </si>
  <si>
    <t>125台（34%）</t>
  </si>
  <si>
    <t>予約ゼロ店舗では在庫の52%が非表示。理由はヒアリングで確認</t>
  </si>
  <si>
    <t>■ 需要側: 明確にここがボトルネック</t>
  </si>
  <si>
    <t>利用者登録</t>
  </si>
  <si>
    <t>91人</t>
  </si>
  <si>
    <t>2月15 → 3月16 → 4月18 → 5月26人と加速中</t>
  </si>
  <si>
    <t>サイトアクセス</t>
  </si>
  <si>
    <t>月2,300PV / 約700IP（2026-05）</t>
  </si>
  <si>
    <t>2026-02に異常スパイク（3,402PV/1,603IP）あり、要因確認</t>
  </si>
  <si>
    <t>粗いCVR</t>
  </si>
  <si>
    <t>約4%（700IP→実予約28件）</t>
  </si>
  <si>
    <t>悪くない水準。問題は分子より分母=流入量</t>
  </si>
  <si>
    <t>■ 地理ミスマッチ: 予約は関西に偏在、在庫は全国に滞留</t>
  </si>
  <si>
    <t>・予約上位5店はすべて関西圏（神戸17 / 尼崎12 / 京都7 / 箕面5 / 奈良5）。上位2店で全予約の41%</t>
  </si>
  <si>
    <t>・予約ゼロで在庫最多: LORO横浜31台 / LORO尾道22台 / SPZ熊本18台</t>
  </si>
  <si>
    <t>・しまなみ海道の玄関口・尾道で22台が予約ゼロ → 集客施策の地域優先順位を決める一次データ</t>
  </si>
  <si>
    <t>・store_00XX@pedalstandard.com名義の店舗（運営社ドメイン）が4件 → 正体要確認</t>
  </si>
  <si>
    <t>クライアント確認リスト（回答欄つき）</t>
  </si>
  <si>
    <t>#</t>
  </si>
  <si>
    <t>確認事項</t>
  </si>
  <si>
    <t>分かると何が決まるか</t>
  </si>
  <si>
    <t>回答（記入欄）</t>
  </si>
  <si>
    <t>店頭決済の手数料、システム外（銀行振込等）で回収した実績はあるか</t>
  </si>
  <si>
    <t>実収入が¥8,690で全部かの最終確定。過去分¥76,150の扱いと回収方式の意思決定</t>
  </si>
  <si>
    <t>【回答あり・6/12】回収できている。15%を紙の請求書でシステム外請求（「めっちゃしょぼい請求をしてる」）。ただし累計額は未突合 → 来週の実データ照合で確認。今後は「運営が全額集約→手数料を引いて振込」+現場キャッシュレス（クレジット1本化）+店舗月額課金の方向で検討中</t>
  </si>
  <si>
    <t>キャンセル16件の理由内訳</t>
  </si>
  <si>
    <t>キャンセルポリシー施策のコスト試算</t>
  </si>
  <si>
    <t>【回答あり・6/12】天候 + 日程変更（キャンセル→別日再予約）が大半、一部不明。キャンセルポリシーは「弱い・強めにする必要」で増永さんも認識一致。雨以外は課金する方向で設計検討へ（50円オーソリでカード有効性チェック案が有力）</t>
  </si>
  <si>
    <t>運営の月額固定費（人件費・ツール）</t>
  </si>
  <si>
    <t>損益分岐ラインの確定（→コスト棚卸しシートに記入）</t>
  </si>
  <si>
    <t>【回答あり・6/12】ほぼかかっていない。運営は現在無給、システム系の費用（Bubble等）+開発委託のみ → コスト棚卸しに反映済み</t>
  </si>
  <si>
    <t>2026年2月のアクセス急増（3,402PV/1,603IP）の要因</t>
  </si>
  <si>
    <t>再現可能な集客施策かボットかの判別</t>
  </si>
  <si>
    <t>【回答あり・6/12】PR TIMES初配信だった（世の中に初めて出したタイミング、メディア掲載が連鎖）。再現可能 → 来週「50店舗突破」リリース配信予定、100店舗で専門誌+広告も計画</t>
  </si>
  <si>
    <t>リピート率（要: 乗車人情報テーブルのエクスポート）</t>
  </si>
  <si>
    <t>リピート率・アクティベーション率の初計測</t>
  </si>
  <si>
    <t>（6/12は時間切れで未依頼 → 来週のデータ認識合わせで依頼する）</t>
  </si>
  <si>
    <t>「100店舗」の出所</t>
  </si>
  <si>
    <t>店舗数・予約数の実態補正</t>
  </si>
  <si>
    <t>【回答あり・6/12】「100店舗」=営業ベースの見込み（実働50店+契約進行中+20店、営業済み120〜130店。数ヶ月で100到達見込み）。store_00XX名義は未確認のまま</t>
  </si>
  <si>
    <t>対外的な店舗数の表記をどうするか（公式サイト/プレスは24店舗、DBは54店登録・うち準備中4店）</t>
  </si>
  <si>
    <t>競合分析・プレゼンHTML等の「24店舗/12都府県」表記を一括更新できる。現状は資料間で数字が不一致のまま
Meta情報にも関連</t>
  </si>
  <si>
    <t>【協議中・6/12】来週「50店舗以上」のPR TIMES配信予定。表記は「全国100店舗以上」で決め打ちする案を含め1〜2週間で決定。バイク数（約360台、CycleTrip300台超え）も訴求に使う方向</t>
  </si>
  <si>
    <t>出典と検証の経緯</t>
  </si>
  <si>
    <t>このブックが「収益モデル」の正本（2026-06-12にmdから完全移行）。分析日: 2026-06-11</t>
  </si>
  <si>
    <t>■ データソース</t>
  </si>
  <si>
    <t>本番DBエクスポート</t>
  </si>
  <si>
    <t>source/ フォルダ（gitignore対象・コミットされない）: reserve.csv（予約121レコード全列）/ users.csv（146人: ユーザー91・加盟店54・管理者1）/ bicycle.csv（369台）/ shop.csv / access-logs.csv（13,596行）/ bike-option.csv — いずれも2026-06-11取得</t>
  </si>
  <si>
    <t>Pay.jp本番スクリーンショット</t>
  </si>
  <si>
    <t>source/payjp/ 売り上げ一覧.png（全期間で10件のみ）・入金一覧.png（残高¥8,690・次回入金¥6,940）— 2026-06-11取得</t>
  </si>
  <si>
    <t>決済フローの仕様</t>
  </si>
  <si>
    <t>98_presentations/pay.jp/asis.html（手数料15%・カード手数料3.5%店舗負担・ライド開始時課金・店頭決済の未請求フォールバック）</t>
  </si>
  <si>
    <t>■ 検証の経緯（重要な訂正履歴）</t>
  </si>
  <si>
    <t>「予約の60%に手数料記録がない」→ 誤分析と判明</t>
  </si>
  <si>
    <t>全列エクスポートで再検証した結果、記録がない行は仮情報51・キャンセル16・来客待ち5で、完了49件の記録は100%。本当の問題は「記録はあるが店頭決済分¥76,150が未請求」（→収益の論点シート）</t>
  </si>
  <si>
    <t>「15%修正が効いていない疑い」→ 晴れた</t>
  </si>
  <si>
    <t>5月の平均手数料/件が4月と同額だったため疑ったが、合計金額との照合で5月完了21件すべて15%と確認。平均が変わらなかったのは5月の予約単価が小さめだっただけ</t>
  </si>
  <si>
    <t>「LCP 3〜5秒」→ 実測49.3秒</t>
  </si>
  <si>
    <t>Lighthouse実測（2026-06-11、モバイル・slow 4G）: スコア25/FCP 20.3s/LCP 49.3s/総重量9.2MB。詳細は current-issues-and-solutions.md</t>
  </si>
  <si>
    <t>「店舗100」→ DBは54店</t>
  </si>
  <si>
    <t>口頭情報とDBが不一致。出所はクライアント確認リスト#6</t>
  </si>
  <si>
    <t>■ 関連ドキュメント</t>
  </si>
  <si>
    <t>「KPIツリー」シート</t>
  </si>
  <si>
    <t>収益の分解ツリーと優先順位（ボトルネック=回収率とセッション数）</t>
  </si>
  <si>
    <t>shop-hearing-design.md</t>
  </si>
  <si>
    <t>ヒアリング設計（対象店舗は需給分析シートのデータで実名選定済み）</t>
  </si>
  <si>
    <t>current-issues-and-solutions.md</t>
  </si>
  <si>
    <t>課題と対策の全体像（収益モデル・保険・ステマ規制のセクションあり）</t>
  </si>
  <si>
    <t>../03_seo/seo-setup-guide.md</t>
  </si>
  <si>
    <t>SEO Phase 1の実施手順</t>
  </si>
  <si>
    <t>■ 主な外部出典</t>
  </si>
  <si>
    <t>OTA手数料相場</t>
  </si>
  <si>
    <t>アソビュー10〜20% / KLOOK 15〜20% / じゃらん16.4%（詳細出典は action-plan.md / current-issues-and-solutions.md に記載）</t>
  </si>
  <si>
    <t>物販送客の根拠</t>
  </si>
  <si>
    <t>Trek: レンタル料100%を購入代金に充当 https://www.trekbikes.com/us/en_US/trek-bike-rentals/ / レンティオ: レンタル経由で購入数4倍以上 https://www.rentio.co.jp/enterprise/column/renttoown</t>
  </si>
  <si>
    <t>供給側崩壊の先行事例</t>
  </si>
  <si>
    <t>Anyca（2024年終了・手数料15〜35%で供給離反） https://www.watch.impress.co.jp/docs/news/1631359.html / Spinlister（2018年終了）</t>
  </si>
  <si>
    <t>■ 主要数値の出典対応表（この数字どこから？）</t>
  </si>
  <si>
    <t>数値</t>
  </si>
  <si>
    <t>出典・確認方法</t>
  </si>
  <si>
    <t>クライアント確認（2026-05切替）+ reserve.csv で5月完了21件全件「合計金額×15%=手数料」を照合して裏取り</t>
  </si>
  <si>
    <t>カード手数料3.5%は店舗負担</t>
  </si>
  <si>
    <t>98_presentations/pay.jp/asis.html（決済フロー仕様）</t>
  </si>
  <si>
    <t>54店</t>
  </si>
  <si>
    <t>users.csv の Right=加盟店 を集計（アーカイブ2店含む）</t>
  </si>
  <si>
    <t>users.csv の Right=ユーザー を集計</t>
  </si>
  <si>
    <t>実予約70件 / 完了49 / キャンセル16</t>
  </si>
  <si>
    <t>reserve.csv のステータス列+予約番号の有無で集計（仮情報51件は除外）</t>
  </si>
  <si>
    <t>月別の完了予約数・手数料収入</t>
  </si>
  <si>
    <t>月別実績シート</t>
  </si>
  <si>
    <t>reserve.csv の返却日×手数料デフォルト列を月別集計</t>
  </si>
  <si>
    <t>RINCLEの実入金</t>
  </si>
  <si>
    <t>¥8,690</t>
  </si>
  <si>
    <t>Pay.jp本番管理画面のスクショ（source/payjp/入金一覧.png）</t>
  </si>
  <si>
    <t>店頭決済の未請求手数料</t>
  </si>
  <si>
    <t>reserve.csv の支払い方法=店頭決済 43件の手数料合計。全件「請求済み=いいえ」+ 手数料月ごとテーブル未使用（クライアント確認）</t>
  </si>
  <si>
    <t>5月実測の手数料平均¥1,532 ÷ 15% で逆算</t>
  </si>
  <si>
    <t>自転車369台 / E-Bike79台 / 非表示125台</t>
  </si>
  <si>
    <t>bicycle.csv（カテゴリ・ebike・貸出ステータス列を集計）</t>
  </si>
  <si>
    <t>月間アクセス 約700IP / 2,300PV</t>
  </si>
  <si>
    <t>access-logs.csv（13,596行）を月別集計。IP=ユニークIPアドレス数</t>
  </si>
  <si>
    <t>粗いCVR 約4%</t>
  </si>
  <si>
    <t>参考値</t>
  </si>
  <si>
    <t>5月の実予約28件 ÷ 5月ユニークIP約700。IP≠人なので目安</t>
  </si>
  <si>
    <t>Bubble Growthプラン 約¥18,000/月</t>
  </si>
  <si>
    <t>仮（要確認）</t>
  </si>
  <si>
    <t>Bubble公式料金 $119/月（年契約）× 約150円/$ で換算</t>
  </si>
  <si>
    <t>損益分岐の必要件数</t>
  </si>
  <si>
    <t>計算値</t>
  </si>
  <si>
    <t>試算モデルシートの数式: 月間固定費 ÷（単価×手数料率×徴収率）</t>
  </si>
  <si>
    <t>OTA手数料相場 10〜20%</t>
  </si>
  <si>
    <t>外部調査</t>
  </si>
  <si>
    <t>2026-06の深掘り調査（出典URLは action-plan.md に記載）</t>
  </si>
  <si>
    <t>■ 今後の調査余地（手元データで追加分析できること）</t>
  </si>
  <si>
    <t>予約フローの離脱率</t>
  </si>
  <si>
    <t>仮情報51件と実予約70件を自転車予約詳細IDで突合すれば、「予約を始めたが確定しなかった割合」が出せる（CVR改善の優先判断に使える）</t>
  </si>
  <si>
    <t>リピート率</t>
  </si>
  <si>
    <t>乗車人情報テーブルのエクスポートが届けば計測可能（確認リスト#5）</t>
  </si>
  <si>
    <t>DBバグの引き継ぎ</t>
  </si>
  <si>
    <t>実態サマリーの「データ異常」4件（予約番号重複・¥12,001・空行・延長手数料）は、DB再構築プロジェクトのバグリスト（2_requirements）へ転記すること</t>
  </si>
  <si>
    <t>■ 2026-06-12定例での判明事項（議事録: 1_meeting_minutes/6.12.txt）</t>
  </si>
  <si>
    <t>店頭決済の回収</t>
  </si>
  <si>
    <t>紙の請求書でシステム外回収できていた（15%）。「未回収¥76,150」という当初分析はPay.jp/DBだけを見た結論で、実態は回収済み。累計額の突合が残り</t>
  </si>
  <si>
    <t>2月のアクセススパイク</t>
  </si>
  <si>
    <t>PR TIMES初配信が原因と判明（メディア掲載が連鎖）。再現可能な施策。来週「50店舗突破」リリース配信予定</t>
  </si>
  <si>
    <t>店舗数の実態</t>
  </si>
  <si>
    <t>実働50店+契約進行中20店+営業済み120〜130店。「100店舗」は営業ベースの見込み（数ヶ月で到達想定）</t>
  </si>
  <si>
    <t>キャンセルの理由</t>
  </si>
  <si>
    <t>天候+日程変更（別日再予約）が大半。ポリシー強化の方向で一致（雨以外は課金・50円オーソリ案）</t>
  </si>
  <si>
    <t>運営は現在無給。システム費+開発委託以外ほぼゼロ</t>
  </si>
  <si>
    <t>ペルソナの答え合わせ</t>
  </si>
  <si>
    <t>来店者の約半分は「初めてロードバイク体験・購入検討」層=ペルソナA/Cが想定通り実在。+2割「イベント参加で自転車が無い」層（新ペルソナ候補）。検索語は「ロードバイク レンタル 地域名」が主流で「スポーツバイク」では誰も調べない</t>
  </si>
  <si>
    <t>競合情報</t>
  </si>
  <si>
    <t>CycleTripが来年、同様のプラットフォームシステムを開発中らしい → 先行逃げ切り方針で一致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</si>
</sst>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Red]&quot;¥&quot;\-#,##0"/>
    <numFmt numFmtId="176" formatCode="0.0%"/>
    <numFmt numFmtId="177" formatCode="#,##0&quot;円&quot;"/>
    <numFmt numFmtId="178" formatCode="0&quot;件&quot;"/>
    <numFmt numFmtId="179" formatCode="0.0&quot;件&quot;"/>
    <numFmt numFmtId="180" formatCode="0.00&quot;倍&quot;"/>
    <numFmt numFmtId="181" formatCode="0&quot;店&quot;"/>
    <numFmt numFmtId="182" formatCode="0&quot;人&quot;"/>
  </numFmts>
  <fonts count="28">
    <font>
      <sz val="11"/>
      <color theme="1"/>
      <name val="ＭＳ Ｐゴシック"/>
      <family val="2"/>
      <scheme val="minor"/>
    </font>
    <font>
      <b/>
      <sz val="14"/>
      <name val="ＭＳ Ｐゴシック"/>
      <family val="2"/>
      <charset val="128"/>
    </font>
    <font>
      <sz val="10"/>
      <color rgb="FF808080"/>
      <name val="ＭＳ Ｐゴシック"/>
      <family val="2"/>
      <charset val="128"/>
    </font>
    <font>
      <b/>
      <sz val="11"/>
      <name val="ＭＳ Ｐゴシック"/>
      <family val="2"/>
      <charset val="128"/>
    </font>
    <font>
      <sz val="9"/>
      <color rgb="FF808080"/>
      <name val="ＭＳ Ｐゴシック"/>
      <family val="2"/>
      <charset val="128"/>
    </font>
    <font>
      <b/>
      <sz val="11"/>
      <color rgb="FFFFFFFF"/>
      <name val="ＭＳ Ｐゴシック"/>
      <family val="2"/>
      <charset val="128"/>
    </font>
    <font>
      <sz val="10"/>
      <name val="ＭＳ Ｐゴシック"/>
      <family val="2"/>
      <charset val="128"/>
    </font>
    <font>
      <b/>
      <sz val="13"/>
      <name val="ＭＳ Ｐゴシック"/>
      <family val="2"/>
      <charset val="128"/>
    </font>
    <font>
      <sz val="9"/>
      <color rgb="FF606060"/>
      <name val="ＭＳ Ｐゴシック"/>
      <family val="2"/>
      <charset val="128"/>
    </font>
    <font>
      <sz val="6"/>
      <name val="ＭＳ Ｐゴシック"/>
      <family val="3"/>
      <charset val="128"/>
      <scheme val="minor"/>
    </font>
    <font>
      <b/>
      <sz val="13"/>
      <name val="ＭＳ Ｐゴシック"/>
      <family val="2"/>
      <charset val="128"/>
    </font>
    <font>
      <sz val="9"/>
      <color rgb="FF808080"/>
      <name val="ＭＳ Ｐゴシック"/>
      <family val="2"/>
      <charset val="128"/>
    </font>
    <font>
      <b/>
      <sz val="11"/>
      <name val="ＭＳ Ｐゴシック"/>
      <family val="2"/>
      <charset val="128"/>
    </font>
    <font>
      <b/>
      <sz val="11"/>
      <color rgb="FFFFFFFF"/>
      <name val="ＭＳ Ｐゴシック"/>
      <family val="2"/>
      <charset val="128"/>
    </font>
    <font>
      <b/>
      <sz val="12"/>
      <name val="ＭＳ Ｐゴシック"/>
      <family val="2"/>
      <charset val="128"/>
    </font>
    <font>
      <b/>
      <sz val="11"/>
      <name val="ＭＳ Ｐゴシック"/>
      <family val="2"/>
      <charset val="128"/>
    </font>
    <font>
      <sz val="8"/>
      <color rgb="FF808080"/>
      <name val="ＭＳ Ｐゴシック"/>
      <family val="2"/>
      <charset val="128"/>
    </font>
    <font>
      <sz val="9"/>
      <name val="ＭＳ Ｐゴシック"/>
      <family val="2"/>
      <charset val="128"/>
    </font>
    <font>
      <sz val="9"/>
      <color rgb="FF606060"/>
      <name val="ＭＳ Ｐゴシック"/>
      <family val="2"/>
      <charset val="128"/>
    </font>
    <font>
      <b/>
      <sz val="10"/>
      <name val="ＭＳ Ｐゴシック"/>
      <family val="2"/>
      <charset val="128"/>
    </font>
    <font>
      <b/>
      <sz val="15"/>
      <name val="ＭＳ Ｐゴシック"/>
      <family val="2"/>
      <charset val="128"/>
    </font>
    <font>
      <sz val="10"/>
      <color rgb="FF000000"/>
      <name val="ＭＳ Ｐゴシック"/>
      <family val="2"/>
      <charset val="128"/>
    </font>
    <font>
      <sz val="9"/>
      <color rgb="FF000000"/>
      <name val="ＭＳ Ｐゴシック"/>
      <family val="2"/>
      <charset val="128"/>
    </font>
    <font>
      <b/>
      <sz val="9"/>
      <name val="ＭＳ Ｐゴシック"/>
      <family val="2"/>
      <charset val="128"/>
    </font>
    <font>
      <sz val="10"/>
      <name val="ＭＳ Ｐゴシック"/>
      <family val="2"/>
      <charset val="128"/>
    </font>
    <font>
      <sz val="9"/>
      <color rgb="FF606060"/>
      <name val="ＭＳ Ｐゴシック"/>
      <family val="2"/>
      <charset val="128"/>
    </font>
    <font>
      <b/>
      <sz val="11"/>
      <name val="ＭＳ Ｐゴシック"/>
      <family val="2"/>
      <charset val="128"/>
    </font>
    <font>
      <b/>
      <sz val="11"/>
      <name val="ＭＳ Ｐゴシック"/>
      <family val="2"/>
      <charset val="128"/>
    </font>
  </fonts>
  <fills count="15">
    <fill>
      <patternFill patternType="none"/>
    </fill>
    <fill>
      <patternFill patternType="gray125"/>
    </fill>
    <fill>
      <patternFill patternType="solid">
        <fgColor rgb="FFFFF2CC"/>
      </patternFill>
    </fill>
    <fill>
      <patternFill patternType="solid">
        <fgColor rgb="FFDEEBF7"/>
      </patternFill>
    </fill>
    <fill>
      <patternFill patternType="solid">
        <fgColor rgb="FF1F3864"/>
      </patternFill>
    </fill>
    <fill>
      <patternFill patternType="solid">
        <fgColor rgb="FFFCE4EC"/>
      </patternFill>
    </fill>
    <fill>
      <patternFill patternType="solid">
        <fgColor rgb="FF1F3864"/>
      </patternFill>
    </fill>
    <fill>
      <patternFill patternType="solid">
        <fgColor rgb="FFE2EFDA"/>
      </patternFill>
    </fill>
    <fill>
      <patternFill patternType="solid">
        <fgColor rgb="FFFCE4EC"/>
      </patternFill>
    </fill>
    <fill>
      <patternFill patternType="solid">
        <fgColor rgb="FFFFF2CC"/>
      </patternFill>
    </fill>
    <fill>
      <patternFill patternType="solid">
        <fgColor rgb="FFDEEBF7"/>
      </patternFill>
    </fill>
    <fill>
      <patternFill patternType="solid">
        <fgColor rgb="FFD9E2F3"/>
      </patternFill>
    </fill>
    <fill>
      <patternFill patternType="solid">
        <fgColor rgb="FFFBE5D6"/>
      </patternFill>
    </fill>
    <fill>
      <patternFill patternType="solid">
        <fgColor rgb="FFEDEDED"/>
      </patternFill>
    </fill>
    <fill>
      <patternFill patternType="solid">
        <fgColor rgb="FFE2EFDA"/>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7">
    <xf numFmtId="0" fontId="0" fillId="0" borderId="0" xfId="0"/>
    <xf numFmtId="0" fontId="1" fillId="0" borderId="0" xfId="0" applyFont="1"/>
    <xf numFmtId="0" fontId="2" fillId="0" borderId="0" xfId="0" applyFont="1"/>
    <xf numFmtId="0" fontId="3" fillId="0" borderId="0" xfId="0" applyFont="1"/>
    <xf numFmtId="0" fontId="0" fillId="0" borderId="1" xfId="0" applyBorder="1"/>
    <xf numFmtId="176" fontId="0" fillId="2" borderId="1" xfId="0" applyNumberFormat="1" applyFill="1" applyBorder="1"/>
    <xf numFmtId="0" fontId="4" fillId="0" borderId="0" xfId="0" applyFont="1"/>
    <xf numFmtId="177" fontId="0" fillId="2" borderId="1" xfId="0" applyNumberFormat="1" applyFill="1" applyBorder="1"/>
    <xf numFmtId="178" fontId="0" fillId="2" borderId="1" xfId="0" applyNumberFormat="1" applyFill="1" applyBorder="1"/>
    <xf numFmtId="177" fontId="3" fillId="3" borderId="1" xfId="0" applyNumberFormat="1" applyFont="1" applyFill="1" applyBorder="1"/>
    <xf numFmtId="179" fontId="3" fillId="3" borderId="1" xfId="0" applyNumberFormat="1" applyFont="1" applyFill="1" applyBorder="1"/>
    <xf numFmtId="180" fontId="3" fillId="3" borderId="1" xfId="0" applyNumberFormat="1" applyFont="1" applyFill="1" applyBorder="1"/>
    <xf numFmtId="0" fontId="5" fillId="4" borderId="1" xfId="0" applyFont="1" applyFill="1" applyBorder="1"/>
    <xf numFmtId="177" fontId="5" fillId="4" borderId="1" xfId="0" applyNumberFormat="1" applyFont="1" applyFill="1" applyBorder="1"/>
    <xf numFmtId="178" fontId="3" fillId="0" borderId="1" xfId="0" applyNumberFormat="1" applyFont="1" applyBorder="1"/>
    <xf numFmtId="177" fontId="0" fillId="3" borderId="1" xfId="0" applyNumberFormat="1" applyFill="1" applyBorder="1"/>
    <xf numFmtId="178" fontId="0" fillId="0" borderId="1" xfId="0" applyNumberFormat="1" applyBorder="1"/>
    <xf numFmtId="0" fontId="3" fillId="0" borderId="1" xfId="0" applyFont="1" applyBorder="1"/>
    <xf numFmtId="0" fontId="7" fillId="0" borderId="0" xfId="0" applyFont="1"/>
    <xf numFmtId="0" fontId="8" fillId="0" borderId="1" xfId="0" applyFont="1" applyBorder="1"/>
    <xf numFmtId="0" fontId="0" fillId="5" borderId="1" xfId="0" applyFill="1" applyBorder="1"/>
    <xf numFmtId="177" fontId="3" fillId="0" borderId="1" xfId="0" applyNumberFormat="1" applyFont="1" applyBorder="1"/>
    <xf numFmtId="0" fontId="0" fillId="0" borderId="0" xfId="0" applyAlignment="1">
      <alignment vertical="top" wrapText="1"/>
    </xf>
    <xf numFmtId="0" fontId="14" fillId="0" borderId="0" xfId="0" applyFont="1"/>
    <xf numFmtId="0" fontId="15" fillId="9" borderId="2" xfId="0" applyFont="1" applyFill="1" applyBorder="1"/>
    <xf numFmtId="0" fontId="0" fillId="0" borderId="2" xfId="0" applyBorder="1" applyAlignment="1">
      <alignment vertical="top" wrapText="1"/>
    </xf>
    <xf numFmtId="0" fontId="15" fillId="10" borderId="2" xfId="0" applyFont="1" applyFill="1" applyBorder="1"/>
    <xf numFmtId="0" fontId="15" fillId="8" borderId="2" xfId="0" applyFont="1" applyFill="1" applyBorder="1"/>
    <xf numFmtId="0" fontId="13" fillId="6" borderId="2" xfId="0" applyFont="1" applyFill="1" applyBorder="1"/>
    <xf numFmtId="0" fontId="15" fillId="0" borderId="2" xfId="0" applyFont="1" applyBorder="1"/>
    <xf numFmtId="0" fontId="11" fillId="0" borderId="0" xfId="0" applyFont="1"/>
    <xf numFmtId="0" fontId="10" fillId="0" borderId="0" xfId="0" applyFont="1"/>
    <xf numFmtId="0" fontId="12" fillId="0" borderId="0" xfId="0" applyFont="1"/>
    <xf numFmtId="0" fontId="0" fillId="7" borderId="2" xfId="0" applyFill="1" applyBorder="1" applyAlignment="1">
      <alignment vertical="top" wrapText="1"/>
    </xf>
    <xf numFmtId="0" fontId="0" fillId="8" borderId="2" xfId="0" applyFill="1" applyBorder="1" applyAlignment="1">
      <alignment vertical="top" wrapText="1"/>
    </xf>
    <xf numFmtId="0" fontId="16" fillId="0" borderId="0" xfId="0" applyFont="1"/>
    <xf numFmtId="0" fontId="13" fillId="6" borderId="2" xfId="0" applyFont="1" applyFill="1" applyBorder="1" applyAlignment="1">
      <alignment horizontal="center" vertical="center"/>
    </xf>
    <xf numFmtId="0" fontId="17" fillId="0" borderId="2" xfId="0" applyFont="1" applyBorder="1" applyAlignment="1">
      <alignment vertical="top" wrapText="1"/>
    </xf>
    <xf numFmtId="0" fontId="0" fillId="0" borderId="2" xfId="0" applyBorder="1"/>
    <xf numFmtId="177" fontId="0" fillId="10" borderId="2" xfId="0" applyNumberFormat="1" applyFill="1" applyBorder="1"/>
    <xf numFmtId="177" fontId="0" fillId="9" borderId="2" xfId="0" applyNumberFormat="1" applyFill="1" applyBorder="1"/>
    <xf numFmtId="177" fontId="0" fillId="0" borderId="2" xfId="0" applyNumberFormat="1" applyBorder="1"/>
    <xf numFmtId="9" fontId="0" fillId="0" borderId="2" xfId="0" applyNumberFormat="1" applyBorder="1"/>
    <xf numFmtId="178" fontId="0" fillId="10" borderId="2" xfId="0" applyNumberFormat="1" applyFill="1" applyBorder="1"/>
    <xf numFmtId="178" fontId="0" fillId="9" borderId="2" xfId="0" applyNumberFormat="1" applyFill="1" applyBorder="1"/>
    <xf numFmtId="178" fontId="0" fillId="0" borderId="2" xfId="0" applyNumberFormat="1" applyBorder="1"/>
    <xf numFmtId="176" fontId="0" fillId="10" borderId="2" xfId="0" applyNumberFormat="1" applyFill="1" applyBorder="1"/>
    <xf numFmtId="176" fontId="0" fillId="9" borderId="2" xfId="0" applyNumberFormat="1" applyFill="1" applyBorder="1"/>
    <xf numFmtId="176" fontId="0" fillId="0" borderId="2" xfId="0" applyNumberFormat="1" applyBorder="1"/>
    <xf numFmtId="3" fontId="0" fillId="10" borderId="2" xfId="0" applyNumberFormat="1" applyFill="1" applyBorder="1"/>
    <xf numFmtId="3" fontId="0" fillId="9" borderId="2" xfId="0" applyNumberFormat="1" applyFill="1" applyBorder="1"/>
    <xf numFmtId="3" fontId="0" fillId="0" borderId="2" xfId="0" applyNumberFormat="1" applyBorder="1"/>
    <xf numFmtId="181" fontId="0" fillId="10" borderId="2" xfId="0" applyNumberFormat="1" applyFill="1" applyBorder="1"/>
    <xf numFmtId="181" fontId="0" fillId="9" borderId="2" xfId="0" applyNumberFormat="1" applyFill="1" applyBorder="1"/>
    <xf numFmtId="181" fontId="0" fillId="0" borderId="2" xfId="0" applyNumberFormat="1" applyBorder="1"/>
    <xf numFmtId="182" fontId="0" fillId="10" borderId="2" xfId="0" applyNumberFormat="1" applyFill="1" applyBorder="1"/>
    <xf numFmtId="182" fontId="0" fillId="9" borderId="2" xfId="0" applyNumberFormat="1" applyFill="1" applyBorder="1"/>
    <xf numFmtId="182" fontId="0" fillId="0" borderId="2" xfId="0" applyNumberFormat="1" applyBorder="1"/>
    <xf numFmtId="0" fontId="15" fillId="0" borderId="0" xfId="0" applyFont="1"/>
    <xf numFmtId="9" fontId="0" fillId="9" borderId="2" xfId="0" applyNumberFormat="1" applyFill="1" applyBorder="1"/>
    <xf numFmtId="0" fontId="18" fillId="0" borderId="0" xfId="0" applyFont="1"/>
    <xf numFmtId="177" fontId="15" fillId="10" borderId="2" xfId="0" applyNumberFormat="1" applyFont="1" applyFill="1" applyBorder="1"/>
    <xf numFmtId="0" fontId="0" fillId="0" borderId="2" xfId="0" applyBorder="1" applyAlignment="1">
      <alignment horizontal="center"/>
    </xf>
    <xf numFmtId="0" fontId="15" fillId="0" borderId="2" xfId="0" applyFont="1" applyBorder="1" applyAlignment="1">
      <alignment vertical="top" wrapText="1"/>
    </xf>
    <xf numFmtId="0" fontId="18" fillId="0" borderId="0" xfId="0" applyFont="1" applyAlignment="1">
      <alignment vertical="top" wrapText="1"/>
    </xf>
    <xf numFmtId="0" fontId="15" fillId="8" borderId="0" xfId="0" applyFont="1" applyFill="1"/>
    <xf numFmtId="0" fontId="0" fillId="8" borderId="0" xfId="0" applyFill="1"/>
    <xf numFmtId="0" fontId="20" fillId="0" borderId="0" xfId="0" applyFont="1"/>
    <xf numFmtId="0" fontId="15" fillId="11" borderId="2" xfId="0" applyFont="1" applyFill="1" applyBorder="1"/>
    <xf numFmtId="0" fontId="23" fillId="11" borderId="2" xfId="0" applyFont="1" applyFill="1" applyBorder="1"/>
    <xf numFmtId="0" fontId="15" fillId="7" borderId="2" xfId="0" applyFont="1" applyFill="1" applyBorder="1"/>
    <xf numFmtId="0" fontId="23" fillId="7" borderId="2" xfId="0" applyFont="1" applyFill="1" applyBorder="1"/>
    <xf numFmtId="0" fontId="15" fillId="12" borderId="2" xfId="0" applyFont="1" applyFill="1" applyBorder="1"/>
    <xf numFmtId="0" fontId="23" fillId="12" borderId="2" xfId="0" applyFont="1" applyFill="1" applyBorder="1"/>
    <xf numFmtId="0" fontId="15" fillId="13" borderId="2" xfId="0" applyFont="1" applyFill="1" applyBorder="1"/>
    <xf numFmtId="0" fontId="23" fillId="13" borderId="2" xfId="0" applyFont="1" applyFill="1" applyBorder="1"/>
    <xf numFmtId="0" fontId="15" fillId="11" borderId="2" xfId="0" applyFont="1" applyFill="1" applyBorder="1" applyAlignment="1">
      <alignment vertical="top" wrapText="1"/>
    </xf>
    <xf numFmtId="0" fontId="15" fillId="7" borderId="2" xfId="0" applyFont="1" applyFill="1" applyBorder="1" applyAlignment="1">
      <alignment vertical="top" wrapText="1"/>
    </xf>
    <xf numFmtId="0" fontId="15" fillId="13" borderId="2" xfId="0" applyFont="1" applyFill="1" applyBorder="1" applyAlignment="1">
      <alignment vertical="top" wrapText="1"/>
    </xf>
    <xf numFmtId="0" fontId="15" fillId="12" borderId="2" xfId="0" applyFont="1" applyFill="1" applyBorder="1" applyAlignment="1">
      <alignment vertical="top" wrapText="1"/>
    </xf>
    <xf numFmtId="0" fontId="23" fillId="0" borderId="2" xfId="0" applyFont="1" applyBorder="1" applyAlignment="1">
      <alignment vertical="top" wrapText="1"/>
    </xf>
    <xf numFmtId="0" fontId="25" fillId="0" borderId="1" xfId="0" applyFont="1" applyBorder="1"/>
    <xf numFmtId="0" fontId="0" fillId="14" borderId="6" xfId="0" applyFill="1" applyBorder="1" applyAlignment="1">
      <alignment vertical="top" wrapText="1"/>
    </xf>
    <xf numFmtId="0" fontId="0" fillId="9" borderId="6" xfId="0" applyFill="1" applyBorder="1" applyAlignment="1">
      <alignment vertical="top" wrapText="1"/>
    </xf>
    <xf numFmtId="0" fontId="26" fillId="0" borderId="0" xfId="0" applyFont="1"/>
    <xf numFmtId="0" fontId="27" fillId="0" borderId="6" xfId="0" applyFont="1" applyBorder="1"/>
    <xf numFmtId="0" fontId="0" fillId="0" borderId="6" xfId="0" applyBorder="1" applyAlignment="1">
      <alignment vertical="top" wrapText="1"/>
    </xf>
    <xf numFmtId="0" fontId="21" fillId="0" borderId="0" xfId="0" applyFont="1" applyAlignment="1">
      <alignment vertical="top" wrapText="1"/>
    </xf>
    <xf numFmtId="0" fontId="0" fillId="0" borderId="0" xfId="0"/>
    <xf numFmtId="0" fontId="17" fillId="0" borderId="2" xfId="0" applyFont="1" applyBorder="1" applyAlignment="1">
      <alignment vertical="top" wrapText="1"/>
    </xf>
    <xf numFmtId="0" fontId="0" fillId="0" borderId="4" xfId="0" applyBorder="1"/>
    <xf numFmtId="0" fontId="0" fillId="0" borderId="5" xfId="0" applyBorder="1"/>
    <xf numFmtId="0" fontId="17" fillId="7" borderId="2" xfId="0" applyFont="1" applyFill="1" applyBorder="1" applyAlignment="1">
      <alignment vertical="top" wrapText="1"/>
    </xf>
    <xf numFmtId="0" fontId="17" fillId="13" borderId="2" xfId="0" applyFont="1" applyFill="1" applyBorder="1" applyAlignment="1">
      <alignment vertical="top" wrapText="1"/>
    </xf>
    <xf numFmtId="0" fontId="17" fillId="11" borderId="2" xfId="0" applyFont="1" applyFill="1" applyBorder="1" applyAlignment="1">
      <alignment vertical="top" wrapText="1"/>
    </xf>
    <xf numFmtId="0" fontId="22" fillId="0" borderId="0" xfId="0" applyFont="1" applyAlignment="1">
      <alignment vertical="top" wrapText="1"/>
    </xf>
    <xf numFmtId="0" fontId="17" fillId="12" borderId="2" xfId="0" applyFont="1" applyFill="1" applyBorder="1" applyAlignment="1">
      <alignment vertical="top" wrapText="1"/>
    </xf>
    <xf numFmtId="0" fontId="6" fillId="5" borderId="0" xfId="0" applyFont="1" applyFill="1"/>
    <xf numFmtId="0" fontId="0" fillId="0" borderId="0" xfId="0" applyAlignment="1">
      <alignment vertical="top" wrapText="1"/>
    </xf>
    <xf numFmtId="0" fontId="19" fillId="9" borderId="0" xfId="0" applyFont="1" applyFill="1" applyAlignment="1">
      <alignment vertical="top" wrapText="1"/>
    </xf>
    <xf numFmtId="0" fontId="24" fillId="8" borderId="0" xfId="0" applyFont="1" applyFill="1" applyAlignment="1">
      <alignment vertical="top" wrapText="1"/>
    </xf>
    <xf numFmtId="0" fontId="0" fillId="0" borderId="2" xfId="0" applyBorder="1" applyAlignment="1">
      <alignment vertical="top" wrapText="1"/>
    </xf>
    <xf numFmtId="0" fontId="13" fillId="6" borderId="2" xfId="0" applyFont="1" applyFill="1" applyBorder="1" applyAlignment="1">
      <alignment horizontal="center" vertical="center"/>
    </xf>
    <xf numFmtId="0" fontId="0" fillId="0" borderId="3" xfId="0" applyBorder="1"/>
    <xf numFmtId="0" fontId="0" fillId="0" borderId="0" xfId="0" applyAlignment="1">
      <alignment vertical="top"/>
    </xf>
    <xf numFmtId="6" fontId="0" fillId="7" borderId="2" xfId="0" applyNumberFormat="1" applyFill="1" applyBorder="1" applyAlignment="1">
      <alignment vertical="top" wrapText="1"/>
    </xf>
    <xf numFmtId="6" fontId="0" fillId="8" borderId="2" xfId="0" applyNumberFormat="1" applyFill="1" applyBorder="1" applyAlignment="1">
      <alignment vertical="top" wrapText="1"/>
    </xf>
  </cellXfs>
  <cellStyles count="1">
    <cellStyle name="標準" xfId="0" builtinId="0"/>
  </cellStyles>
  <dxfs count="7">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7"/>
  <sheetViews>
    <sheetView zoomScale="140" zoomScaleNormal="140" workbookViewId="0"/>
  </sheetViews>
  <sheetFormatPr baseColWidth="10" defaultColWidth="8.83203125" defaultRowHeight="14"/>
  <cols>
    <col min="1" max="1" width="17" customWidth="1"/>
    <col min="2" max="2" width="30" customWidth="1"/>
    <col min="3" max="3" width="36" customWidth="1"/>
    <col min="4" max="4" width="27" customWidth="1"/>
    <col min="5" max="5" width="40" customWidth="1"/>
  </cols>
  <sheetData>
    <row r="1" spans="1:5" ht="18" customHeight="1">
      <c r="A1" s="67" t="s">
        <v>32</v>
      </c>
    </row>
    <row r="3" spans="1:5" ht="58" customHeight="1">
      <c r="A3" s="87" t="s">
        <v>33</v>
      </c>
      <c r="B3" s="88"/>
      <c r="C3" s="88"/>
      <c r="D3" s="88"/>
      <c r="E3" s="88"/>
    </row>
    <row r="4" spans="1:5" ht="28" customHeight="1">
      <c r="A4" s="95" t="s">
        <v>34</v>
      </c>
      <c r="B4" s="88"/>
      <c r="C4" s="88"/>
      <c r="D4" s="88"/>
      <c r="E4" s="88"/>
    </row>
    <row r="6" spans="1:5" ht="15" customHeight="1">
      <c r="A6" s="23" t="s">
        <v>35</v>
      </c>
    </row>
    <row r="7" spans="1:5" ht="40" customHeight="1">
      <c r="A7" s="87" t="s">
        <v>36</v>
      </c>
      <c r="B7" s="88"/>
      <c r="C7" s="88"/>
      <c r="D7" s="88"/>
      <c r="E7" s="88"/>
    </row>
    <row r="8" spans="1:5">
      <c r="A8" s="68" t="s">
        <v>37</v>
      </c>
      <c r="B8" s="69" t="s">
        <v>38</v>
      </c>
      <c r="C8" s="94" t="s">
        <v>39</v>
      </c>
      <c r="D8" s="90"/>
      <c r="E8" s="91"/>
    </row>
    <row r="9" spans="1:5">
      <c r="A9" s="70" t="s">
        <v>40</v>
      </c>
      <c r="B9" s="71" t="s">
        <v>41</v>
      </c>
      <c r="C9" s="92" t="s">
        <v>42</v>
      </c>
      <c r="D9" s="90"/>
      <c r="E9" s="91"/>
    </row>
    <row r="10" spans="1:5">
      <c r="A10" s="72" t="s">
        <v>43</v>
      </c>
      <c r="B10" s="73" t="s">
        <v>44</v>
      </c>
      <c r="C10" s="96" t="s">
        <v>45</v>
      </c>
      <c r="D10" s="90"/>
      <c r="E10" s="91"/>
    </row>
    <row r="11" spans="1:5">
      <c r="A11" s="74" t="s">
        <v>46</v>
      </c>
      <c r="B11" s="75" t="s">
        <v>47</v>
      </c>
      <c r="C11" s="93" t="s">
        <v>48</v>
      </c>
      <c r="D11" s="90"/>
      <c r="E11" s="91"/>
    </row>
    <row r="13" spans="1:5" ht="15" customHeight="1">
      <c r="A13" s="23" t="s">
        <v>49</v>
      </c>
    </row>
    <row r="14" spans="1:5">
      <c r="A14" s="24" t="s">
        <v>50</v>
      </c>
      <c r="B14" s="89" t="s">
        <v>51</v>
      </c>
      <c r="C14" s="90"/>
      <c r="D14" s="90"/>
      <c r="E14" s="91"/>
    </row>
    <row r="15" spans="1:5">
      <c r="A15" s="26" t="s">
        <v>52</v>
      </c>
      <c r="B15" s="89" t="s">
        <v>53</v>
      </c>
      <c r="C15" s="90"/>
      <c r="D15" s="90"/>
      <c r="E15" s="91"/>
    </row>
    <row r="16" spans="1:5">
      <c r="A16" s="27" t="s">
        <v>54</v>
      </c>
      <c r="B16" s="89" t="s">
        <v>55</v>
      </c>
      <c r="C16" s="90"/>
      <c r="D16" s="90"/>
      <c r="E16" s="91"/>
    </row>
    <row r="18" spans="1:5" ht="15" customHeight="1">
      <c r="A18" s="23" t="s">
        <v>56</v>
      </c>
    </row>
    <row r="19" spans="1:5">
      <c r="A19" s="28" t="s">
        <v>57</v>
      </c>
      <c r="B19" s="28" t="s">
        <v>58</v>
      </c>
      <c r="C19" s="28" t="s">
        <v>59</v>
      </c>
      <c r="D19" s="28" t="s">
        <v>60</v>
      </c>
      <c r="E19" s="28" t="s">
        <v>61</v>
      </c>
    </row>
    <row r="20" spans="1:5" ht="64" customHeight="1">
      <c r="A20" s="76" t="s">
        <v>62</v>
      </c>
      <c r="B20" s="37" t="s">
        <v>63</v>
      </c>
      <c r="C20" s="37" t="s">
        <v>64</v>
      </c>
      <c r="D20" s="37" t="s">
        <v>65</v>
      </c>
      <c r="E20" s="37" t="s">
        <v>66</v>
      </c>
    </row>
    <row r="21" spans="1:5" ht="64" customHeight="1">
      <c r="A21" s="76" t="s">
        <v>67</v>
      </c>
      <c r="B21" s="37" t="s">
        <v>68</v>
      </c>
      <c r="C21" s="37" t="s">
        <v>69</v>
      </c>
      <c r="D21" s="37" t="s">
        <v>70</v>
      </c>
      <c r="E21" s="37" t="s">
        <v>71</v>
      </c>
    </row>
    <row r="22" spans="1:5" ht="64" customHeight="1">
      <c r="A22" s="77" t="s">
        <v>72</v>
      </c>
      <c r="B22" s="37" t="s">
        <v>73</v>
      </c>
      <c r="C22" s="37" t="s">
        <v>74</v>
      </c>
      <c r="D22" s="37" t="s">
        <v>75</v>
      </c>
      <c r="E22" s="37" t="s">
        <v>76</v>
      </c>
    </row>
    <row r="23" spans="1:5" ht="64" customHeight="1">
      <c r="A23" s="77" t="s">
        <v>77</v>
      </c>
      <c r="B23" s="37" t="s">
        <v>78</v>
      </c>
      <c r="C23" s="37" t="s">
        <v>79</v>
      </c>
      <c r="D23" s="37" t="s">
        <v>80</v>
      </c>
      <c r="E23" s="37" t="s">
        <v>81</v>
      </c>
    </row>
    <row r="24" spans="1:5" ht="64" customHeight="1">
      <c r="A24" s="78" t="s">
        <v>82</v>
      </c>
      <c r="B24" s="37" t="s">
        <v>83</v>
      </c>
      <c r="C24" s="37" t="s">
        <v>84</v>
      </c>
      <c r="D24" s="37" t="s">
        <v>85</v>
      </c>
      <c r="E24" s="37" t="s">
        <v>86</v>
      </c>
    </row>
    <row r="25" spans="1:5" ht="64" customHeight="1">
      <c r="A25" s="79" t="s">
        <v>87</v>
      </c>
      <c r="B25" s="37" t="s">
        <v>88</v>
      </c>
      <c r="C25" s="37" t="s">
        <v>89</v>
      </c>
      <c r="D25" s="37" t="s">
        <v>90</v>
      </c>
      <c r="E25" s="37" t="s">
        <v>91</v>
      </c>
    </row>
    <row r="26" spans="1:5" ht="64" customHeight="1">
      <c r="A26" s="79" t="s">
        <v>92</v>
      </c>
      <c r="B26" s="37" t="s">
        <v>93</v>
      </c>
      <c r="C26" s="37" t="s">
        <v>94</v>
      </c>
      <c r="D26" s="37" t="s">
        <v>95</v>
      </c>
      <c r="E26" s="37" t="s">
        <v>96</v>
      </c>
    </row>
    <row r="27" spans="1:5" ht="64" customHeight="1">
      <c r="A27" s="79" t="s">
        <v>97</v>
      </c>
      <c r="B27" s="37" t="s">
        <v>98</v>
      </c>
      <c r="C27" s="37" t="s">
        <v>99</v>
      </c>
      <c r="D27" s="37" t="s">
        <v>100</v>
      </c>
      <c r="E27" s="37" t="s">
        <v>101</v>
      </c>
    </row>
    <row r="28" spans="1:5" ht="64" customHeight="1">
      <c r="A28" s="76" t="s">
        <v>102</v>
      </c>
      <c r="B28" s="37" t="s">
        <v>103</v>
      </c>
      <c r="C28" s="37" t="s">
        <v>104</v>
      </c>
      <c r="D28" s="37" t="s">
        <v>105</v>
      </c>
      <c r="E28" s="37" t="s">
        <v>106</v>
      </c>
    </row>
    <row r="29" spans="1:5" ht="64" customHeight="1">
      <c r="A29" s="78" t="s">
        <v>107</v>
      </c>
      <c r="B29" s="37" t="s">
        <v>108</v>
      </c>
      <c r="C29" s="37" t="s">
        <v>109</v>
      </c>
      <c r="D29" s="37" t="s">
        <v>110</v>
      </c>
      <c r="E29" s="37" t="s">
        <v>111</v>
      </c>
    </row>
    <row r="30" spans="1:5" ht="64" customHeight="1">
      <c r="A30" s="78" t="s">
        <v>112</v>
      </c>
      <c r="B30" s="37" t="s">
        <v>113</v>
      </c>
      <c r="C30" s="37" t="s">
        <v>114</v>
      </c>
      <c r="D30" s="37" t="s">
        <v>115</v>
      </c>
      <c r="E30" s="37" t="s">
        <v>116</v>
      </c>
    </row>
    <row r="32" spans="1:5" ht="15" customHeight="1">
      <c r="A32" s="23" t="s">
        <v>117</v>
      </c>
    </row>
    <row r="33" spans="1:5">
      <c r="A33" s="87" t="s">
        <v>118</v>
      </c>
      <c r="B33" s="88"/>
      <c r="C33" s="88"/>
      <c r="D33" s="88"/>
      <c r="E33" s="88"/>
    </row>
    <row r="34" spans="1:5">
      <c r="A34" s="87" t="s">
        <v>119</v>
      </c>
      <c r="B34" s="88"/>
      <c r="C34" s="88"/>
      <c r="D34" s="88"/>
      <c r="E34" s="88"/>
    </row>
    <row r="35" spans="1:5">
      <c r="A35" s="87" t="s">
        <v>120</v>
      </c>
      <c r="B35" s="88"/>
      <c r="C35" s="88"/>
      <c r="D35" s="88"/>
      <c r="E35" s="88"/>
    </row>
    <row r="36" spans="1:5">
      <c r="A36" s="87" t="s">
        <v>121</v>
      </c>
      <c r="B36" s="88"/>
      <c r="C36" s="88"/>
      <c r="D36" s="88"/>
      <c r="E36" s="88"/>
    </row>
    <row r="37" spans="1:5">
      <c r="A37" s="87" t="s">
        <v>122</v>
      </c>
      <c r="B37" s="88"/>
      <c r="C37" s="88"/>
      <c r="D37" s="88"/>
      <c r="E37" s="88"/>
    </row>
    <row r="39" spans="1:5" ht="15" customHeight="1">
      <c r="A39" s="23" t="s">
        <v>123</v>
      </c>
    </row>
    <row r="40" spans="1:5" ht="30" customHeight="1">
      <c r="A40" s="80" t="s">
        <v>124</v>
      </c>
      <c r="B40" s="89" t="s">
        <v>125</v>
      </c>
      <c r="C40" s="90"/>
      <c r="D40" s="90"/>
      <c r="E40" s="91"/>
    </row>
    <row r="41" spans="1:5" ht="30" customHeight="1">
      <c r="A41" s="80" t="s">
        <v>126</v>
      </c>
      <c r="B41" s="89" t="s">
        <v>127</v>
      </c>
      <c r="C41" s="90"/>
      <c r="D41" s="90"/>
      <c r="E41" s="91"/>
    </row>
    <row r="42" spans="1:5" ht="30" customHeight="1">
      <c r="A42" s="80" t="s">
        <v>128</v>
      </c>
      <c r="B42" s="89" t="s">
        <v>129</v>
      </c>
      <c r="C42" s="90"/>
      <c r="D42" s="90"/>
      <c r="E42" s="91"/>
    </row>
    <row r="44" spans="1:5" ht="15" customHeight="1">
      <c r="A44" s="23" t="s">
        <v>130</v>
      </c>
    </row>
    <row r="45" spans="1:5">
      <c r="A45" s="29" t="s">
        <v>131</v>
      </c>
      <c r="B45" s="89" t="s">
        <v>132</v>
      </c>
      <c r="C45" s="90"/>
      <c r="D45" s="90"/>
      <c r="E45" s="91"/>
    </row>
    <row r="46" spans="1:5">
      <c r="A46" s="29" t="s">
        <v>133</v>
      </c>
      <c r="B46" s="89" t="s">
        <v>134</v>
      </c>
      <c r="C46" s="90"/>
      <c r="D46" s="90"/>
      <c r="E46" s="91"/>
    </row>
    <row r="47" spans="1:5">
      <c r="A47" s="29" t="s">
        <v>135</v>
      </c>
      <c r="B47" s="89" t="s">
        <v>136</v>
      </c>
      <c r="C47" s="90"/>
      <c r="D47" s="90"/>
      <c r="E47" s="91"/>
    </row>
    <row r="48" spans="1:5">
      <c r="A48" s="29" t="s">
        <v>137</v>
      </c>
      <c r="B48" s="89" t="s">
        <v>138</v>
      </c>
      <c r="C48" s="90"/>
      <c r="D48" s="90"/>
      <c r="E48" s="91"/>
    </row>
    <row r="49" spans="1:5">
      <c r="A49" s="29" t="s">
        <v>139</v>
      </c>
      <c r="B49" s="89" t="s">
        <v>140</v>
      </c>
      <c r="C49" s="90"/>
      <c r="D49" s="90"/>
      <c r="E49" s="91"/>
    </row>
    <row r="50" spans="1:5">
      <c r="A50" s="29" t="s">
        <v>141</v>
      </c>
      <c r="B50" s="89" t="s">
        <v>142</v>
      </c>
      <c r="C50" s="90"/>
      <c r="D50" s="90"/>
      <c r="E50" s="91"/>
    </row>
    <row r="51" spans="1:5">
      <c r="A51" s="29" t="s">
        <v>143</v>
      </c>
      <c r="B51" s="89" t="s">
        <v>144</v>
      </c>
      <c r="C51" s="90"/>
      <c r="D51" s="90"/>
      <c r="E51" s="91"/>
    </row>
    <row r="52" spans="1:5">
      <c r="A52" s="29" t="s">
        <v>145</v>
      </c>
      <c r="B52" s="89" t="s">
        <v>146</v>
      </c>
      <c r="C52" s="90"/>
      <c r="D52" s="90"/>
      <c r="E52" s="91"/>
    </row>
    <row r="53" spans="1:5">
      <c r="A53" s="29" t="s">
        <v>147</v>
      </c>
      <c r="B53" s="89" t="s">
        <v>148</v>
      </c>
      <c r="C53" s="90"/>
      <c r="D53" s="90"/>
      <c r="E53" s="91"/>
    </row>
    <row r="54" spans="1:5">
      <c r="A54" s="29" t="s">
        <v>149</v>
      </c>
      <c r="B54" s="89" t="s">
        <v>150</v>
      </c>
      <c r="C54" s="90"/>
      <c r="D54" s="90"/>
      <c r="E54" s="91"/>
    </row>
    <row r="55" spans="1:5">
      <c r="A55" s="29" t="s">
        <v>151</v>
      </c>
      <c r="B55" s="89" t="s">
        <v>152</v>
      </c>
      <c r="C55" s="90"/>
      <c r="D55" s="90"/>
      <c r="E55" s="91"/>
    </row>
    <row r="57" spans="1:5" ht="28" customHeight="1">
      <c r="A57" s="95" t="s">
        <v>153</v>
      </c>
      <c r="B57" s="88"/>
      <c r="C57" s="88"/>
      <c r="D57" s="88"/>
      <c r="E57" s="88"/>
    </row>
  </sheetData>
  <mergeCells count="30">
    <mergeCell ref="A3:E3"/>
    <mergeCell ref="A57:E57"/>
    <mergeCell ref="B52:E52"/>
    <mergeCell ref="A33:E33"/>
    <mergeCell ref="B48:E48"/>
    <mergeCell ref="B42:E42"/>
    <mergeCell ref="B14:E14"/>
    <mergeCell ref="A35:E35"/>
    <mergeCell ref="A4:E4"/>
    <mergeCell ref="B53:E53"/>
    <mergeCell ref="C10:E10"/>
    <mergeCell ref="A7:E7"/>
    <mergeCell ref="C8:E8"/>
    <mergeCell ref="B16:E16"/>
    <mergeCell ref="B54:E54"/>
    <mergeCell ref="A37:E37"/>
    <mergeCell ref="B47:E47"/>
    <mergeCell ref="B46:E46"/>
    <mergeCell ref="B55:E55"/>
    <mergeCell ref="A36:E36"/>
    <mergeCell ref="B51:E51"/>
    <mergeCell ref="B45:E45"/>
    <mergeCell ref="B41:E41"/>
    <mergeCell ref="B50:E50"/>
    <mergeCell ref="A34:E34"/>
    <mergeCell ref="B40:E40"/>
    <mergeCell ref="B49:E49"/>
    <mergeCell ref="C9:E9"/>
    <mergeCell ref="B15:E15"/>
    <mergeCell ref="C11:E11"/>
  </mergeCells>
  <phoneticPr fontId="9"/>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1"/>
  <sheetViews>
    <sheetView topLeftCell="A11" zoomScale="140" zoomScaleNormal="140" workbookViewId="0"/>
  </sheetViews>
  <sheetFormatPr baseColWidth="10" defaultColWidth="8.83203125" defaultRowHeight="14"/>
  <cols>
    <col min="1" max="1" width="30" customWidth="1"/>
    <col min="2" max="2" width="26" customWidth="1"/>
    <col min="3" max="3" width="60" customWidth="1"/>
  </cols>
  <sheetData>
    <row r="1" spans="1:3" ht="16" customHeight="1">
      <c r="A1" s="31" t="s">
        <v>154</v>
      </c>
    </row>
    <row r="2" spans="1:3">
      <c r="A2" s="30" t="s">
        <v>155</v>
      </c>
    </row>
    <row r="4" spans="1:3">
      <c r="A4" s="32" t="s">
        <v>156</v>
      </c>
    </row>
    <row r="5" spans="1:3">
      <c r="A5" s="28" t="s">
        <v>2</v>
      </c>
      <c r="B5" s="28" t="s">
        <v>157</v>
      </c>
      <c r="C5" s="28" t="s">
        <v>158</v>
      </c>
    </row>
    <row r="6" spans="1:3" ht="30" customHeight="1">
      <c r="A6" s="25" t="s">
        <v>159</v>
      </c>
      <c r="B6" s="25" t="s">
        <v>160</v>
      </c>
      <c r="C6" s="25" t="s">
        <v>161</v>
      </c>
    </row>
    <row r="7" spans="1:3" ht="15" customHeight="1">
      <c r="A7" s="25" t="s">
        <v>162</v>
      </c>
      <c r="B7" s="25" t="s">
        <v>163</v>
      </c>
      <c r="C7" s="25" t="s">
        <v>164</v>
      </c>
    </row>
    <row r="8" spans="1:3" ht="15" customHeight="1">
      <c r="A8" s="25" t="s">
        <v>165</v>
      </c>
      <c r="B8" s="25" t="s">
        <v>166</v>
      </c>
      <c r="C8" s="25" t="s">
        <v>167</v>
      </c>
    </row>
    <row r="9" spans="1:3" ht="15" customHeight="1">
      <c r="A9" s="25" t="s">
        <v>168</v>
      </c>
      <c r="B9" s="25" t="s">
        <v>169</v>
      </c>
      <c r="C9" s="25" t="s">
        <v>170</v>
      </c>
    </row>
    <row r="10" spans="1:3" ht="15" customHeight="1">
      <c r="A10" s="25" t="s">
        <v>171</v>
      </c>
      <c r="B10" s="25" t="s">
        <v>172</v>
      </c>
      <c r="C10" s="25" t="s">
        <v>173</v>
      </c>
    </row>
    <row r="11" spans="1:3" ht="30" customHeight="1">
      <c r="A11" s="25" t="s">
        <v>174</v>
      </c>
      <c r="B11" s="25" t="s">
        <v>175</v>
      </c>
      <c r="C11" s="25" t="s">
        <v>176</v>
      </c>
    </row>
    <row r="12" spans="1:3" ht="15" customHeight="1">
      <c r="A12" s="25" t="s">
        <v>177</v>
      </c>
      <c r="B12" s="25" t="s">
        <v>178</v>
      </c>
      <c r="C12" s="25" t="s">
        <v>179</v>
      </c>
    </row>
    <row r="14" spans="1:3">
      <c r="A14" s="32" t="s">
        <v>180</v>
      </c>
    </row>
    <row r="15" spans="1:3">
      <c r="A15" s="28" t="s">
        <v>181</v>
      </c>
      <c r="B15" s="28" t="s">
        <v>182</v>
      </c>
      <c r="C15" s="28" t="s">
        <v>183</v>
      </c>
    </row>
    <row r="16" spans="1:3" ht="15" customHeight="1">
      <c r="A16" s="25" t="s">
        <v>184</v>
      </c>
      <c r="B16" s="25">
        <v>49</v>
      </c>
      <c r="C16" s="25" t="s">
        <v>185</v>
      </c>
    </row>
    <row r="17" spans="1:3" ht="15" customHeight="1">
      <c r="A17" s="25" t="s">
        <v>186</v>
      </c>
      <c r="B17" s="25">
        <v>16</v>
      </c>
      <c r="C17" s="25" t="s">
        <v>187</v>
      </c>
    </row>
    <row r="18" spans="1:3" ht="15" customHeight="1">
      <c r="A18" s="25" t="s">
        <v>188</v>
      </c>
      <c r="B18" s="25">
        <v>5</v>
      </c>
      <c r="C18" s="25" t="s">
        <v>189</v>
      </c>
    </row>
    <row r="19" spans="1:3" ht="15" customHeight="1">
      <c r="A19" s="25" t="s">
        <v>190</v>
      </c>
      <c r="B19" s="25">
        <v>51</v>
      </c>
      <c r="C19" s="25" t="s">
        <v>191</v>
      </c>
    </row>
    <row r="21" spans="1:3">
      <c r="A21" s="32" t="s">
        <v>192</v>
      </c>
    </row>
    <row r="22" spans="1:3">
      <c r="A22" s="28" t="s">
        <v>193</v>
      </c>
      <c r="B22" s="28" t="s">
        <v>157</v>
      </c>
      <c r="C22" s="28" t="s">
        <v>194</v>
      </c>
    </row>
    <row r="23" spans="1:3" ht="15" customHeight="1">
      <c r="A23" s="25" t="s">
        <v>195</v>
      </c>
      <c r="B23" s="25" t="s">
        <v>196</v>
      </c>
      <c r="C23" s="25" t="s">
        <v>197</v>
      </c>
    </row>
    <row r="24" spans="1:3" ht="15" customHeight="1">
      <c r="A24" s="25" t="s">
        <v>198</v>
      </c>
      <c r="B24" s="25" t="s">
        <v>199</v>
      </c>
      <c r="C24" s="25" t="s">
        <v>200</v>
      </c>
    </row>
    <row r="25" spans="1:3" ht="15" customHeight="1">
      <c r="A25" s="25" t="s">
        <v>201</v>
      </c>
      <c r="B25" s="25" t="s">
        <v>202</v>
      </c>
      <c r="C25" s="25" t="s">
        <v>203</v>
      </c>
    </row>
    <row r="27" spans="1:3">
      <c r="A27" s="32" t="s">
        <v>204</v>
      </c>
    </row>
    <row r="28" spans="1:3" ht="45" customHeight="1">
      <c r="A28" s="22" t="s">
        <v>205</v>
      </c>
    </row>
    <row r="29" spans="1:3" ht="30" customHeight="1">
      <c r="A29" s="22" t="s">
        <v>206</v>
      </c>
    </row>
    <row r="30" spans="1:3" ht="15" customHeight="1">
      <c r="A30" s="22" t="s">
        <v>207</v>
      </c>
    </row>
    <row r="31" spans="1:3" ht="45" customHeight="1">
      <c r="A31" s="22" t="s">
        <v>208</v>
      </c>
    </row>
  </sheetData>
  <phoneticPr fontId="9"/>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3"/>
  <sheetViews>
    <sheetView tabSelected="1" zoomScale="140" zoomScaleNormal="140" workbookViewId="0">
      <selection activeCell="C7" sqref="C7"/>
    </sheetView>
  </sheetViews>
  <sheetFormatPr baseColWidth="10" defaultColWidth="8.83203125" defaultRowHeight="14"/>
  <cols>
    <col min="1" max="1" width="30" customWidth="1"/>
    <col min="2" max="2" width="16" customWidth="1"/>
    <col min="3" max="3" width="20" customWidth="1"/>
    <col min="4" max="4" width="60" customWidth="1"/>
  </cols>
  <sheetData>
    <row r="1" spans="1:4" ht="16" customHeight="1">
      <c r="A1" s="31" t="s">
        <v>209</v>
      </c>
    </row>
    <row r="2" spans="1:4">
      <c r="A2" s="30" t="s">
        <v>155</v>
      </c>
    </row>
    <row r="4" spans="1:4">
      <c r="A4" s="32" t="s">
        <v>210</v>
      </c>
    </row>
    <row r="5" spans="1:4">
      <c r="A5" s="28" t="s">
        <v>211</v>
      </c>
      <c r="B5" s="28" t="s">
        <v>182</v>
      </c>
      <c r="C5" s="28" t="s">
        <v>212</v>
      </c>
      <c r="D5" s="28" t="s">
        <v>213</v>
      </c>
    </row>
    <row r="6" spans="1:4" ht="15" customHeight="1">
      <c r="A6" s="33" t="s">
        <v>214</v>
      </c>
      <c r="B6" s="33">
        <v>6</v>
      </c>
      <c r="C6" s="105">
        <v>10780</v>
      </c>
      <c r="D6" s="33" t="s">
        <v>215</v>
      </c>
    </row>
    <row r="7" spans="1:4" ht="15" customHeight="1">
      <c r="A7" s="34" t="s">
        <v>216</v>
      </c>
      <c r="B7" s="34">
        <v>43</v>
      </c>
      <c r="C7" s="106">
        <v>76150</v>
      </c>
      <c r="D7" s="34" t="s">
        <v>218</v>
      </c>
    </row>
    <row r="9" spans="1:4">
      <c r="A9" s="104" t="s">
        <v>219</v>
      </c>
    </row>
    <row r="10" spans="1:4">
      <c r="A10" s="104" t="s">
        <v>220</v>
      </c>
    </row>
    <row r="11" spans="1:4">
      <c r="A11" s="104" t="s">
        <v>221</v>
      </c>
    </row>
    <row r="13" spans="1:4">
      <c r="A13" s="32" t="s">
        <v>222</v>
      </c>
    </row>
    <row r="14" spans="1:4">
      <c r="A14" s="28" t="s">
        <v>223</v>
      </c>
      <c r="B14" s="28" t="s">
        <v>224</v>
      </c>
      <c r="C14" s="28" t="s">
        <v>225</v>
      </c>
      <c r="D14" s="28" t="s">
        <v>226</v>
      </c>
    </row>
    <row r="15" spans="1:4" ht="30" customHeight="1">
      <c r="A15" s="25">
        <v>1</v>
      </c>
      <c r="B15" s="25" t="s">
        <v>227</v>
      </c>
      <c r="C15" s="25" t="s">
        <v>228</v>
      </c>
      <c r="D15" s="25" t="s">
        <v>229</v>
      </c>
    </row>
    <row r="16" spans="1:4" ht="30" customHeight="1">
      <c r="A16" s="25">
        <v>2</v>
      </c>
      <c r="B16" s="25" t="s">
        <v>230</v>
      </c>
      <c r="C16" s="25" t="s">
        <v>231</v>
      </c>
      <c r="D16" s="25" t="s">
        <v>232</v>
      </c>
    </row>
    <row r="17" spans="1:4" ht="30" customHeight="1">
      <c r="A17" s="25">
        <v>3</v>
      </c>
      <c r="B17" s="25" t="s">
        <v>233</v>
      </c>
      <c r="C17" s="25" t="s">
        <v>234</v>
      </c>
      <c r="D17" s="25" t="s">
        <v>235</v>
      </c>
    </row>
    <row r="19" spans="1:4">
      <c r="A19" s="32" t="s">
        <v>236</v>
      </c>
    </row>
    <row r="20" spans="1:4">
      <c r="A20" s="28" t="s">
        <v>237</v>
      </c>
      <c r="B20" s="28" t="s">
        <v>5</v>
      </c>
      <c r="C20" s="28" t="s">
        <v>224</v>
      </c>
      <c r="D20" s="28"/>
    </row>
    <row r="21" spans="1:4" ht="45" customHeight="1">
      <c r="A21" s="25" t="s">
        <v>238</v>
      </c>
      <c r="B21" s="25" t="s">
        <v>239</v>
      </c>
      <c r="C21" s="25" t="s">
        <v>240</v>
      </c>
      <c r="D21" s="25"/>
    </row>
    <row r="22" spans="1:4" ht="60" customHeight="1">
      <c r="A22" s="25" t="s">
        <v>241</v>
      </c>
      <c r="B22" s="25" t="s">
        <v>242</v>
      </c>
      <c r="C22" s="25" t="s">
        <v>243</v>
      </c>
      <c r="D22" s="25"/>
    </row>
    <row r="23" spans="1:4" ht="45" customHeight="1">
      <c r="A23" s="25" t="s">
        <v>244</v>
      </c>
      <c r="B23" s="25" t="s">
        <v>21</v>
      </c>
      <c r="C23" s="25" t="s">
        <v>245</v>
      </c>
      <c r="D23" s="25"/>
    </row>
  </sheetData>
  <phoneticPr fontId="9"/>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zoomScale="140" zoomScaleNormal="140" workbookViewId="0">
      <selection activeCell="A12" sqref="A12"/>
    </sheetView>
  </sheetViews>
  <sheetFormatPr baseColWidth="10" defaultColWidth="8.83203125" defaultRowHeight="14"/>
  <cols>
    <col min="1" max="1" width="34" customWidth="1"/>
    <col min="2" max="2" width="10" customWidth="1"/>
    <col min="3" max="3" width="14" customWidth="1"/>
    <col min="4" max="4" width="10" customWidth="1"/>
    <col min="5" max="5" width="52" customWidth="1"/>
  </cols>
  <sheetData>
    <row r="1" spans="1:5" ht="16" customHeight="1">
      <c r="A1" s="18" t="s">
        <v>0</v>
      </c>
    </row>
    <row r="2" spans="1:5">
      <c r="A2" s="2" t="s">
        <v>1</v>
      </c>
    </row>
    <row r="4" spans="1:5">
      <c r="A4" s="12" t="s">
        <v>2</v>
      </c>
      <c r="B4" s="12" t="s">
        <v>3</v>
      </c>
      <c r="C4" s="12" t="s">
        <v>4</v>
      </c>
      <c r="D4" s="12" t="s">
        <v>5</v>
      </c>
      <c r="E4" s="12" t="s">
        <v>6</v>
      </c>
    </row>
    <row r="5" spans="1:5">
      <c r="A5" s="4" t="s">
        <v>7</v>
      </c>
      <c r="B5" s="4" t="s">
        <v>8</v>
      </c>
      <c r="C5" s="7">
        <v>18000</v>
      </c>
      <c r="D5" s="4" t="s">
        <v>9</v>
      </c>
      <c r="E5" s="19" t="s">
        <v>10</v>
      </c>
    </row>
    <row r="6" spans="1:5">
      <c r="A6" s="4" t="s">
        <v>11</v>
      </c>
      <c r="B6" s="4" t="s">
        <v>8</v>
      </c>
      <c r="C6" s="7">
        <v>300</v>
      </c>
      <c r="D6" s="20" t="s">
        <v>12</v>
      </c>
      <c r="E6" s="19" t="s">
        <v>13</v>
      </c>
    </row>
    <row r="7" spans="1:5">
      <c r="A7" s="4" t="s">
        <v>14</v>
      </c>
      <c r="B7" s="4" t="s">
        <v>8</v>
      </c>
      <c r="C7" s="7">
        <v>0</v>
      </c>
      <c r="D7" s="4" t="s">
        <v>15</v>
      </c>
      <c r="E7" s="19" t="s">
        <v>16</v>
      </c>
    </row>
    <row r="8" spans="1:5">
      <c r="A8" s="4" t="s">
        <v>17</v>
      </c>
      <c r="B8" s="4" t="s">
        <v>8</v>
      </c>
      <c r="C8" s="7">
        <v>0</v>
      </c>
      <c r="D8" s="20" t="s">
        <v>18</v>
      </c>
      <c r="E8" s="81" t="s">
        <v>19</v>
      </c>
    </row>
    <row r="9" spans="1:5">
      <c r="A9" s="4" t="s">
        <v>20</v>
      </c>
      <c r="B9" s="4" t="s">
        <v>8</v>
      </c>
      <c r="C9" s="7">
        <v>0</v>
      </c>
      <c r="D9" s="20" t="s">
        <v>21</v>
      </c>
      <c r="E9" s="19" t="s">
        <v>22</v>
      </c>
    </row>
    <row r="10" spans="1:5">
      <c r="A10" s="4" t="s">
        <v>23</v>
      </c>
      <c r="B10" s="4" t="s">
        <v>8</v>
      </c>
      <c r="C10" s="7">
        <v>0</v>
      </c>
      <c r="D10" s="20" t="s">
        <v>21</v>
      </c>
      <c r="E10" s="19" t="s">
        <v>24</v>
      </c>
    </row>
    <row r="11" spans="1:5">
      <c r="A11" s="4" t="s">
        <v>25</v>
      </c>
      <c r="B11" s="4" t="s">
        <v>8</v>
      </c>
      <c r="C11" s="7">
        <v>0</v>
      </c>
      <c r="D11" s="20" t="s">
        <v>21</v>
      </c>
      <c r="E11" s="19" t="s">
        <v>26</v>
      </c>
    </row>
    <row r="12" spans="1:5">
      <c r="A12" s="4" t="s">
        <v>27</v>
      </c>
      <c r="B12" s="4" t="s">
        <v>28</v>
      </c>
      <c r="C12" s="7">
        <v>0</v>
      </c>
      <c r="D12" s="4" t="s">
        <v>29</v>
      </c>
      <c r="E12" s="19" t="s">
        <v>30</v>
      </c>
    </row>
    <row r="13" spans="1:5">
      <c r="A13" s="17" t="s">
        <v>31</v>
      </c>
      <c r="B13" s="4"/>
      <c r="C13" s="21">
        <f>SUM(C5:C12)</f>
        <v>18300</v>
      </c>
      <c r="D13" s="4"/>
      <c r="E13" s="4"/>
    </row>
  </sheetData>
  <phoneticPr fontId="9"/>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1"/>
  <sheetViews>
    <sheetView zoomScale="140" zoomScaleNormal="140" workbookViewId="0">
      <selection activeCell="B22" sqref="B22"/>
    </sheetView>
  </sheetViews>
  <sheetFormatPr baseColWidth="10" defaultColWidth="8.83203125" defaultRowHeight="14"/>
  <cols>
    <col min="1" max="1" width="34" customWidth="1"/>
    <col min="2" max="6" width="16" customWidth="1"/>
  </cols>
  <sheetData>
    <row r="1" spans="1:3" ht="17" customHeight="1">
      <c r="A1" s="1" t="s">
        <v>246</v>
      </c>
    </row>
    <row r="2" spans="1:3">
      <c r="A2" s="2" t="s">
        <v>247</v>
      </c>
    </row>
    <row r="4" spans="1:3">
      <c r="A4" s="3" t="s">
        <v>248</v>
      </c>
    </row>
    <row r="5" spans="1:3">
      <c r="A5" s="4" t="s">
        <v>137</v>
      </c>
      <c r="B5" s="5">
        <v>0.15</v>
      </c>
      <c r="C5" s="6" t="s">
        <v>249</v>
      </c>
    </row>
    <row r="6" spans="1:3">
      <c r="A6" s="4" t="s">
        <v>250</v>
      </c>
      <c r="B6" s="7">
        <v>10200</v>
      </c>
      <c r="C6" s="6" t="s">
        <v>251</v>
      </c>
    </row>
    <row r="7" spans="1:3">
      <c r="A7" s="4" t="s">
        <v>252</v>
      </c>
      <c r="B7" s="8">
        <v>21</v>
      </c>
      <c r="C7" s="6" t="s">
        <v>253</v>
      </c>
    </row>
    <row r="8" spans="1:3">
      <c r="A8" s="4" t="s">
        <v>254</v>
      </c>
      <c r="B8" s="5">
        <v>1</v>
      </c>
      <c r="C8" s="6" t="s">
        <v>255</v>
      </c>
    </row>
    <row r="9" spans="1:3">
      <c r="A9" s="4" t="s">
        <v>256</v>
      </c>
      <c r="B9" s="7">
        <f>コスト棚卸し!C13</f>
        <v>18300</v>
      </c>
      <c r="C9" s="6" t="s">
        <v>257</v>
      </c>
    </row>
    <row r="11" spans="1:3">
      <c r="A11" s="3" t="s">
        <v>258</v>
      </c>
    </row>
    <row r="12" spans="1:3">
      <c r="A12" s="4" t="s">
        <v>259</v>
      </c>
      <c r="B12" s="9">
        <f>B6*B5</f>
        <v>1530</v>
      </c>
    </row>
    <row r="13" spans="1:3">
      <c r="A13" s="4" t="s">
        <v>260</v>
      </c>
      <c r="B13" s="9">
        <f>B6*B7</f>
        <v>214200</v>
      </c>
    </row>
    <row r="14" spans="1:3">
      <c r="A14" s="4" t="s">
        <v>261</v>
      </c>
      <c r="B14" s="9">
        <f>B6*B5*B7*B8</f>
        <v>32130</v>
      </c>
    </row>
    <row r="15" spans="1:3">
      <c r="A15" s="4" t="s">
        <v>262</v>
      </c>
      <c r="B15" s="9">
        <f>B14-B9</f>
        <v>13830</v>
      </c>
    </row>
    <row r="16" spans="1:3">
      <c r="A16" s="4" t="s">
        <v>263</v>
      </c>
      <c r="B16" s="10">
        <f>B9/(B6*B5*B8)</f>
        <v>11.96078431372549</v>
      </c>
    </row>
    <row r="17" spans="1:6">
      <c r="A17" s="4" t="s">
        <v>264</v>
      </c>
      <c r="B17" s="11">
        <f>B16/B7</f>
        <v>0.56956115779645189</v>
      </c>
    </row>
    <row r="20" spans="1:6">
      <c r="A20" s="3" t="s">
        <v>265</v>
      </c>
    </row>
    <row r="21" spans="1:6">
      <c r="A21" s="12" t="s">
        <v>266</v>
      </c>
      <c r="B21" s="13">
        <v>20000</v>
      </c>
      <c r="C21" s="13">
        <v>100000</v>
      </c>
      <c r="D21" s="13">
        <v>300000</v>
      </c>
      <c r="E21" s="13">
        <v>500000</v>
      </c>
    </row>
    <row r="22" spans="1:6">
      <c r="A22" s="14">
        <v>10</v>
      </c>
      <c r="B22" s="15">
        <f t="shared" ref="B22:E29" si="0">$A22*$B$6*$B$5*$B$8-B$21</f>
        <v>-4700</v>
      </c>
      <c r="C22" s="15">
        <f t="shared" si="0"/>
        <v>-84700</v>
      </c>
      <c r="D22" s="15">
        <f t="shared" si="0"/>
        <v>-284700</v>
      </c>
      <c r="E22" s="15">
        <f t="shared" si="0"/>
        <v>-484700</v>
      </c>
    </row>
    <row r="23" spans="1:6">
      <c r="A23" s="14">
        <v>20</v>
      </c>
      <c r="B23" s="15">
        <f t="shared" si="0"/>
        <v>10600</v>
      </c>
      <c r="C23" s="15">
        <f t="shared" si="0"/>
        <v>-69400</v>
      </c>
      <c r="D23" s="15">
        <f t="shared" si="0"/>
        <v>-269400</v>
      </c>
      <c r="E23" s="15">
        <f t="shared" si="0"/>
        <v>-469400</v>
      </c>
    </row>
    <row r="24" spans="1:6">
      <c r="A24" s="14">
        <v>41</v>
      </c>
      <c r="B24" s="15">
        <f t="shared" si="0"/>
        <v>42730</v>
      </c>
      <c r="C24" s="15">
        <f t="shared" si="0"/>
        <v>-37270</v>
      </c>
      <c r="D24" s="15">
        <f t="shared" si="0"/>
        <v>-237270</v>
      </c>
      <c r="E24" s="15">
        <f t="shared" si="0"/>
        <v>-437270</v>
      </c>
    </row>
    <row r="25" spans="1:6">
      <c r="A25" s="14">
        <v>60</v>
      </c>
      <c r="B25" s="15">
        <f t="shared" si="0"/>
        <v>71800</v>
      </c>
      <c r="C25" s="15">
        <f t="shared" si="0"/>
        <v>-8200</v>
      </c>
      <c r="D25" s="15">
        <f t="shared" si="0"/>
        <v>-208200</v>
      </c>
      <c r="E25" s="15">
        <f t="shared" si="0"/>
        <v>-408200</v>
      </c>
    </row>
    <row r="26" spans="1:6">
      <c r="A26" s="14">
        <v>80</v>
      </c>
      <c r="B26" s="15">
        <f t="shared" si="0"/>
        <v>102400</v>
      </c>
      <c r="C26" s="15">
        <f t="shared" si="0"/>
        <v>22400</v>
      </c>
      <c r="D26" s="15">
        <f t="shared" si="0"/>
        <v>-177600</v>
      </c>
      <c r="E26" s="15">
        <f t="shared" si="0"/>
        <v>-377600</v>
      </c>
    </row>
    <row r="27" spans="1:6">
      <c r="A27" s="14">
        <v>113</v>
      </c>
      <c r="B27" s="15">
        <f t="shared" si="0"/>
        <v>152890</v>
      </c>
      <c r="C27" s="15">
        <f t="shared" si="0"/>
        <v>72890</v>
      </c>
      <c r="D27" s="15">
        <f t="shared" si="0"/>
        <v>-127110</v>
      </c>
      <c r="E27" s="15">
        <f t="shared" si="0"/>
        <v>-327110</v>
      </c>
    </row>
    <row r="28" spans="1:6">
      <c r="A28" s="14">
        <v>150</v>
      </c>
      <c r="B28" s="15">
        <f t="shared" si="0"/>
        <v>209500</v>
      </c>
      <c r="C28" s="15">
        <f t="shared" si="0"/>
        <v>129500</v>
      </c>
      <c r="D28" s="15">
        <f t="shared" si="0"/>
        <v>-70500</v>
      </c>
      <c r="E28" s="15">
        <f t="shared" si="0"/>
        <v>-270500</v>
      </c>
    </row>
    <row r="29" spans="1:6">
      <c r="A29" s="14">
        <v>200</v>
      </c>
      <c r="B29" s="15">
        <f t="shared" si="0"/>
        <v>286000</v>
      </c>
      <c r="C29" s="15">
        <f t="shared" si="0"/>
        <v>206000</v>
      </c>
      <c r="D29" s="15">
        <f t="shared" si="0"/>
        <v>6000</v>
      </c>
      <c r="E29" s="15">
        <f t="shared" si="0"/>
        <v>-194000</v>
      </c>
    </row>
    <row r="31" spans="1:6">
      <c r="A31" s="97" t="s">
        <v>267</v>
      </c>
      <c r="B31" s="88"/>
      <c r="C31" s="88"/>
      <c r="D31" s="88"/>
      <c r="E31" s="88"/>
      <c r="F31" s="88"/>
    </row>
  </sheetData>
  <mergeCells count="1">
    <mergeCell ref="A31:F31"/>
  </mergeCells>
  <phoneticPr fontId="9"/>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
  <sheetViews>
    <sheetView zoomScale="140" zoomScaleNormal="140" workbookViewId="0">
      <selection activeCell="C10" sqref="C10"/>
    </sheetView>
  </sheetViews>
  <sheetFormatPr baseColWidth="10" defaultColWidth="8.83203125" defaultRowHeight="14"/>
  <cols>
    <col min="1" max="1" width="12" customWidth="1"/>
    <col min="2" max="5" width="18" customWidth="1"/>
  </cols>
  <sheetData>
    <row r="1" spans="1:5">
      <c r="A1" s="3" t="s">
        <v>268</v>
      </c>
    </row>
    <row r="2" spans="1:5">
      <c r="A2" s="12" t="s">
        <v>269</v>
      </c>
      <c r="B2" s="12" t="s">
        <v>270</v>
      </c>
      <c r="C2" s="12" t="s">
        <v>271</v>
      </c>
      <c r="D2" s="12" t="s">
        <v>272</v>
      </c>
      <c r="E2" s="12" t="s">
        <v>6</v>
      </c>
    </row>
    <row r="3" spans="1:5">
      <c r="A3" s="4" t="s">
        <v>273</v>
      </c>
      <c r="B3" s="16">
        <v>1</v>
      </c>
      <c r="C3" s="15">
        <v>3465</v>
      </c>
      <c r="D3" s="15">
        <f t="shared" ref="D3:D11" si="0">IF(B3=0,0,C3/IF(A3&lt;"2026-05",0.1,0.15))</f>
        <v>34650</v>
      </c>
      <c r="E3" s="4" t="s">
        <v>274</v>
      </c>
    </row>
    <row r="4" spans="1:5">
      <c r="A4" s="4" t="s">
        <v>275</v>
      </c>
      <c r="B4" s="16">
        <v>4</v>
      </c>
      <c r="C4" s="15">
        <v>12980</v>
      </c>
      <c r="D4" s="15">
        <f t="shared" si="0"/>
        <v>129800</v>
      </c>
      <c r="E4" s="4"/>
    </row>
    <row r="5" spans="1:5">
      <c r="A5" s="4" t="s">
        <v>276</v>
      </c>
      <c r="B5" s="16">
        <v>0</v>
      </c>
      <c r="C5" s="15">
        <v>0</v>
      </c>
      <c r="D5" s="15">
        <f t="shared" si="0"/>
        <v>0</v>
      </c>
      <c r="E5" s="4"/>
    </row>
    <row r="6" spans="1:5">
      <c r="A6" s="4" t="s">
        <v>277</v>
      </c>
      <c r="B6" s="16">
        <v>0</v>
      </c>
      <c r="C6" s="15">
        <v>0</v>
      </c>
      <c r="D6" s="15">
        <f t="shared" si="0"/>
        <v>0</v>
      </c>
      <c r="E6" s="4"/>
    </row>
    <row r="7" spans="1:5">
      <c r="A7" s="4" t="s">
        <v>278</v>
      </c>
      <c r="B7" s="16">
        <v>5</v>
      </c>
      <c r="C7" s="15">
        <v>4345</v>
      </c>
      <c r="D7" s="15">
        <f t="shared" si="0"/>
        <v>43450</v>
      </c>
      <c r="E7" s="4"/>
    </row>
    <row r="8" spans="1:5">
      <c r="A8" s="4" t="s">
        <v>279</v>
      </c>
      <c r="B8" s="16">
        <v>5</v>
      </c>
      <c r="C8" s="15">
        <v>4730</v>
      </c>
      <c r="D8" s="15">
        <f t="shared" si="0"/>
        <v>47300</v>
      </c>
      <c r="E8" s="4" t="s">
        <v>280</v>
      </c>
    </row>
    <row r="9" spans="1:5">
      <c r="A9" s="4" t="s">
        <v>281</v>
      </c>
      <c r="B9" s="16">
        <v>9</v>
      </c>
      <c r="C9" s="15">
        <v>13823</v>
      </c>
      <c r="D9" s="15">
        <f t="shared" si="0"/>
        <v>138230</v>
      </c>
      <c r="E9" s="4" t="s">
        <v>282</v>
      </c>
    </row>
    <row r="10" spans="1:5">
      <c r="A10" s="4" t="s">
        <v>283</v>
      </c>
      <c r="B10" s="16">
        <v>21</v>
      </c>
      <c r="C10" s="15">
        <v>32175</v>
      </c>
      <c r="D10" s="15">
        <f t="shared" si="0"/>
        <v>214500</v>
      </c>
      <c r="E10" s="4" t="s">
        <v>284</v>
      </c>
    </row>
    <row r="11" spans="1:5">
      <c r="A11" s="4" t="s">
        <v>285</v>
      </c>
      <c r="B11" s="16">
        <v>4</v>
      </c>
      <c r="C11" s="15">
        <v>15412</v>
      </c>
      <c r="D11" s="15">
        <f t="shared" si="0"/>
        <v>102746.66666666667</v>
      </c>
      <c r="E11" s="4" t="s">
        <v>286</v>
      </c>
    </row>
    <row r="12" spans="1:5">
      <c r="A12" s="17" t="s">
        <v>287</v>
      </c>
      <c r="B12" s="14">
        <f>SUM(B3:B11)</f>
        <v>49</v>
      </c>
      <c r="C12" s="9">
        <f>SUM(C3:C11)</f>
        <v>86930</v>
      </c>
      <c r="D12" s="9">
        <f>SUM(D3:D11)</f>
        <v>710676.66666666663</v>
      </c>
      <c r="E12" s="4"/>
    </row>
    <row r="15" spans="1:5">
      <c r="A15" s="2" t="s">
        <v>288</v>
      </c>
    </row>
  </sheetData>
  <phoneticPr fontId="9"/>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47"/>
  <sheetViews>
    <sheetView zoomScale="140" zoomScaleNormal="140" workbookViewId="0"/>
  </sheetViews>
  <sheetFormatPr baseColWidth="10" defaultColWidth="8.83203125" defaultRowHeight="14"/>
  <cols>
    <col min="1" max="1" width="52" customWidth="1"/>
    <col min="2" max="2" width="26" customWidth="1"/>
    <col min="3" max="3" width="56" customWidth="1"/>
  </cols>
  <sheetData>
    <row r="1" spans="1:3" ht="16" customHeight="1">
      <c r="A1" s="31" t="s">
        <v>289</v>
      </c>
    </row>
    <row r="2" spans="1:3">
      <c r="A2" s="30" t="s">
        <v>290</v>
      </c>
    </row>
    <row r="3" spans="1:3" ht="30" customHeight="1">
      <c r="A3" s="99" t="s">
        <v>291</v>
      </c>
      <c r="B3" s="88"/>
      <c r="C3" s="88"/>
    </row>
    <row r="5" spans="1:3">
      <c r="A5" s="58" t="s">
        <v>292</v>
      </c>
      <c r="B5" t="s">
        <v>293</v>
      </c>
      <c r="C5" s="64" t="s">
        <v>294</v>
      </c>
    </row>
    <row r="6" spans="1:3">
      <c r="A6" t="s">
        <v>295</v>
      </c>
      <c r="B6" t="s">
        <v>296</v>
      </c>
      <c r="C6" s="64"/>
    </row>
    <row r="7" spans="1:3">
      <c r="A7" t="s">
        <v>297</v>
      </c>
      <c r="B7" t="s">
        <v>298</v>
      </c>
      <c r="C7" s="64"/>
    </row>
    <row r="8" spans="1:3">
      <c r="A8" t="s">
        <v>299</v>
      </c>
      <c r="B8" t="s">
        <v>300</v>
      </c>
      <c r="C8" s="64"/>
    </row>
    <row r="9" spans="1:3">
      <c r="A9" s="65" t="s">
        <v>301</v>
      </c>
      <c r="B9" s="66" t="s">
        <v>302</v>
      </c>
      <c r="C9" s="64" t="s">
        <v>303</v>
      </c>
    </row>
    <row r="10" spans="1:3">
      <c r="A10" t="s">
        <v>304</v>
      </c>
      <c r="B10" t="s">
        <v>305</v>
      </c>
      <c r="C10" s="64" t="s">
        <v>306</v>
      </c>
    </row>
    <row r="11" spans="1:3">
      <c r="A11" t="s">
        <v>307</v>
      </c>
      <c r="B11" t="s">
        <v>308</v>
      </c>
      <c r="C11" s="64"/>
    </row>
    <row r="12" spans="1:3">
      <c r="A12" t="s">
        <v>309</v>
      </c>
      <c r="B12" t="s">
        <v>310</v>
      </c>
      <c r="C12" s="64"/>
    </row>
    <row r="13" spans="1:3">
      <c r="A13" t="s">
        <v>311</v>
      </c>
      <c r="B13" t="s">
        <v>312</v>
      </c>
      <c r="C13" s="64"/>
    </row>
    <row r="14" spans="1:3">
      <c r="A14" t="s">
        <v>313</v>
      </c>
      <c r="B14" t="s">
        <v>314</v>
      </c>
      <c r="C14" s="64" t="s">
        <v>315</v>
      </c>
    </row>
    <row r="15" spans="1:3">
      <c r="A15" t="s">
        <v>316</v>
      </c>
      <c r="B15" t="s">
        <v>317</v>
      </c>
      <c r="C15" s="64" t="s">
        <v>318</v>
      </c>
    </row>
    <row r="16" spans="1:3">
      <c r="A16" t="s">
        <v>319</v>
      </c>
      <c r="B16" t="s">
        <v>320</v>
      </c>
      <c r="C16" s="64" t="s">
        <v>321</v>
      </c>
    </row>
    <row r="17" spans="1:3">
      <c r="A17" t="s">
        <v>322</v>
      </c>
      <c r="B17" t="s">
        <v>323</v>
      </c>
      <c r="C17" s="64" t="s">
        <v>324</v>
      </c>
    </row>
    <row r="18" spans="1:3" ht="28">
      <c r="A18" s="65" t="s">
        <v>325</v>
      </c>
      <c r="B18" s="66" t="s">
        <v>326</v>
      </c>
      <c r="C18" s="64" t="s">
        <v>327</v>
      </c>
    </row>
    <row r="19" spans="1:3">
      <c r="A19" t="s">
        <v>328</v>
      </c>
      <c r="B19" t="s">
        <v>329</v>
      </c>
      <c r="C19" s="64" t="s">
        <v>330</v>
      </c>
    </row>
    <row r="20" spans="1:3">
      <c r="A20" t="s">
        <v>331</v>
      </c>
      <c r="B20" t="s">
        <v>332</v>
      </c>
      <c r="C20" s="64" t="s">
        <v>333</v>
      </c>
    </row>
    <row r="21" spans="1:3">
      <c r="C21" s="64"/>
    </row>
    <row r="22" spans="1:3">
      <c r="A22" s="58" t="s">
        <v>334</v>
      </c>
      <c r="C22" s="64"/>
    </row>
    <row r="23" spans="1:3" ht="28" customHeight="1">
      <c r="A23" t="s">
        <v>335</v>
      </c>
      <c r="B23" t="s">
        <v>336</v>
      </c>
      <c r="C23" s="64" t="s">
        <v>337</v>
      </c>
    </row>
    <row r="24" spans="1:3">
      <c r="C24" s="64"/>
    </row>
    <row r="25" spans="1:3">
      <c r="A25" s="58" t="s">
        <v>338</v>
      </c>
      <c r="C25" s="64"/>
    </row>
    <row r="26" spans="1:3">
      <c r="A26" t="s">
        <v>339</v>
      </c>
      <c r="B26" t="s">
        <v>340</v>
      </c>
      <c r="C26" s="64" t="s">
        <v>341</v>
      </c>
    </row>
    <row r="28" spans="1:3">
      <c r="A28" s="32" t="s">
        <v>342</v>
      </c>
    </row>
    <row r="29" spans="1:3">
      <c r="A29" s="28" t="s">
        <v>343</v>
      </c>
      <c r="B29" s="28" t="s">
        <v>344</v>
      </c>
      <c r="C29" s="28" t="s">
        <v>345</v>
      </c>
    </row>
    <row r="30" spans="1:3" ht="28" customHeight="1">
      <c r="A30" s="38" t="s">
        <v>346</v>
      </c>
      <c r="B30" s="38" t="s">
        <v>347</v>
      </c>
      <c r="C30" s="37" t="s">
        <v>348</v>
      </c>
    </row>
    <row r="31" spans="1:3" ht="28" customHeight="1">
      <c r="A31" s="38" t="s">
        <v>349</v>
      </c>
      <c r="B31" s="38" t="s">
        <v>350</v>
      </c>
      <c r="C31" s="37" t="s">
        <v>351</v>
      </c>
    </row>
    <row r="32" spans="1:3" ht="28" customHeight="1">
      <c r="A32" s="38" t="s">
        <v>352</v>
      </c>
      <c r="B32" s="38" t="s">
        <v>353</v>
      </c>
      <c r="C32" s="37" t="s">
        <v>354</v>
      </c>
    </row>
    <row r="33" spans="1:3" ht="28" customHeight="1">
      <c r="A33" s="38" t="s">
        <v>355</v>
      </c>
      <c r="B33" s="38" t="s">
        <v>314</v>
      </c>
      <c r="C33" s="37" t="s">
        <v>356</v>
      </c>
    </row>
    <row r="34" spans="1:3">
      <c r="A34" s="38" t="s">
        <v>357</v>
      </c>
      <c r="B34" s="38" t="s">
        <v>353</v>
      </c>
      <c r="C34" s="37" t="s">
        <v>358</v>
      </c>
    </row>
    <row r="35" spans="1:3">
      <c r="A35" s="38" t="s">
        <v>195</v>
      </c>
      <c r="B35" s="38" t="s">
        <v>317</v>
      </c>
      <c r="C35" s="37" t="s">
        <v>359</v>
      </c>
    </row>
    <row r="36" spans="1:3">
      <c r="A36" s="38" t="s">
        <v>360</v>
      </c>
      <c r="B36" s="38" t="s">
        <v>320</v>
      </c>
      <c r="C36" s="37" t="s">
        <v>361</v>
      </c>
    </row>
    <row r="37" spans="1:3">
      <c r="A37" s="38" t="s">
        <v>137</v>
      </c>
      <c r="B37" s="38" t="s">
        <v>362</v>
      </c>
      <c r="C37" s="37" t="s">
        <v>363</v>
      </c>
    </row>
    <row r="38" spans="1:3">
      <c r="A38" s="38" t="s">
        <v>364</v>
      </c>
      <c r="B38" s="38" t="s">
        <v>353</v>
      </c>
      <c r="C38" s="37" t="s">
        <v>365</v>
      </c>
    </row>
    <row r="39" spans="1:3" ht="28" customHeight="1">
      <c r="A39" s="38" t="s">
        <v>366</v>
      </c>
      <c r="B39" s="38" t="s">
        <v>367</v>
      </c>
      <c r="C39" s="37" t="s">
        <v>368</v>
      </c>
    </row>
    <row r="40" spans="1:3" ht="28" customHeight="1">
      <c r="A40" s="38" t="s">
        <v>369</v>
      </c>
      <c r="B40" s="38" t="s">
        <v>370</v>
      </c>
      <c r="C40" s="37" t="s">
        <v>371</v>
      </c>
    </row>
    <row r="42" spans="1:3">
      <c r="A42" s="32" t="s">
        <v>372</v>
      </c>
    </row>
    <row r="43" spans="1:3" ht="28" customHeight="1">
      <c r="A43" s="98" t="s">
        <v>373</v>
      </c>
      <c r="B43" s="88"/>
      <c r="C43" s="88"/>
    </row>
    <row r="44" spans="1:3" ht="28" customHeight="1">
      <c r="A44" s="98" t="s">
        <v>374</v>
      </c>
      <c r="B44" s="88"/>
      <c r="C44" s="88"/>
    </row>
    <row r="45" spans="1:3" ht="28" customHeight="1">
      <c r="A45" s="98" t="s">
        <v>375</v>
      </c>
      <c r="B45" s="88"/>
      <c r="C45" s="88"/>
    </row>
    <row r="46" spans="1:3" ht="28" customHeight="1">
      <c r="A46" s="98" t="s">
        <v>376</v>
      </c>
      <c r="B46" s="88"/>
      <c r="C46" s="88"/>
    </row>
    <row r="47" spans="1:3" ht="28" customHeight="1">
      <c r="A47" s="98" t="s">
        <v>377</v>
      </c>
      <c r="B47" s="88"/>
      <c r="C47" s="88"/>
    </row>
  </sheetData>
  <mergeCells count="6">
    <mergeCell ref="A44:C44"/>
    <mergeCell ref="A47:C47"/>
    <mergeCell ref="A45:C45"/>
    <mergeCell ref="A46:C46"/>
    <mergeCell ref="A3:C3"/>
    <mergeCell ref="A43:C43"/>
  </mergeCells>
  <phoneticPr fontId="9"/>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topLeftCell="A4" zoomScale="140" zoomScaleNormal="140" workbookViewId="0">
      <selection activeCell="A29" sqref="A29:G29"/>
    </sheetView>
  </sheetViews>
  <sheetFormatPr baseColWidth="10" defaultColWidth="8.83203125" defaultRowHeight="14"/>
  <cols>
    <col min="1" max="1" width="34" customWidth="1"/>
    <col min="2" max="7" width="13" customWidth="1"/>
    <col min="8" max="8" width="60" customWidth="1"/>
  </cols>
  <sheetData>
    <row r="1" spans="1:7" ht="16" customHeight="1">
      <c r="A1" s="31" t="s">
        <v>378</v>
      </c>
    </row>
    <row r="2" spans="1:7">
      <c r="A2" s="30" t="s">
        <v>379</v>
      </c>
    </row>
    <row r="4" spans="1:7">
      <c r="A4" s="58" t="s">
        <v>380</v>
      </c>
    </row>
    <row r="5" spans="1:7">
      <c r="A5" s="38" t="s">
        <v>381</v>
      </c>
      <c r="B5" s="59">
        <v>0.2</v>
      </c>
      <c r="C5" s="60" t="s">
        <v>382</v>
      </c>
    </row>
    <row r="6" spans="1:7">
      <c r="A6" s="38" t="s">
        <v>383</v>
      </c>
      <c r="B6" s="59">
        <v>0.75</v>
      </c>
      <c r="C6" s="60" t="s">
        <v>384</v>
      </c>
    </row>
    <row r="7" spans="1:7">
      <c r="A7" s="38" t="s">
        <v>385</v>
      </c>
      <c r="B7" s="47">
        <v>0.04</v>
      </c>
      <c r="C7" s="60" t="s">
        <v>386</v>
      </c>
    </row>
    <row r="8" spans="1:7">
      <c r="A8" s="38" t="s">
        <v>387</v>
      </c>
      <c r="B8" s="40">
        <v>1530</v>
      </c>
      <c r="C8" s="60" t="s">
        <v>388</v>
      </c>
    </row>
    <row r="9" spans="1:7">
      <c r="A9" s="38" t="s">
        <v>389</v>
      </c>
      <c r="B9" s="44">
        <v>26</v>
      </c>
      <c r="C9" s="60" t="s">
        <v>390</v>
      </c>
    </row>
    <row r="12" spans="1:7">
      <c r="A12" s="58" t="s">
        <v>391</v>
      </c>
    </row>
    <row r="13" spans="1:7">
      <c r="A13" s="28" t="s">
        <v>193</v>
      </c>
      <c r="B13" s="28" t="s">
        <v>392</v>
      </c>
      <c r="C13" s="28" t="s">
        <v>393</v>
      </c>
      <c r="D13" s="28" t="s">
        <v>394</v>
      </c>
      <c r="E13" s="28" t="s">
        <v>395</v>
      </c>
      <c r="F13" s="28" t="s">
        <v>396</v>
      </c>
      <c r="G13" s="28" t="s">
        <v>397</v>
      </c>
    </row>
    <row r="14" spans="1:7">
      <c r="A14" s="38" t="s">
        <v>398</v>
      </c>
      <c r="B14" s="43">
        <f>ROUND($B$9*(1+$B$5),0)</f>
        <v>31</v>
      </c>
      <c r="C14" s="43">
        <f>ROUND(B14*(1+$B$5),0)</f>
        <v>37</v>
      </c>
      <c r="D14" s="43">
        <f>ROUND(C14*(1+$B$5),0)</f>
        <v>44</v>
      </c>
      <c r="E14" s="43">
        <f>ROUND(D14*(1+$B$5),0)</f>
        <v>53</v>
      </c>
      <c r="F14" s="43">
        <f>ROUND(E14*(1+$B$5),0)</f>
        <v>64</v>
      </c>
      <c r="G14" s="43">
        <f>ROUND(F14*(1+$B$5),0)</f>
        <v>77</v>
      </c>
    </row>
    <row r="15" spans="1:7">
      <c r="A15" s="38" t="s">
        <v>399</v>
      </c>
      <c r="B15" s="43">
        <f t="shared" ref="B15:G15" si="0">B14/$B$6</f>
        <v>41.333333333333336</v>
      </c>
      <c r="C15" s="43">
        <f t="shared" si="0"/>
        <v>49.333333333333336</v>
      </c>
      <c r="D15" s="43">
        <f t="shared" si="0"/>
        <v>58.666666666666664</v>
      </c>
      <c r="E15" s="43">
        <f t="shared" si="0"/>
        <v>70.666666666666671</v>
      </c>
      <c r="F15" s="43">
        <f t="shared" si="0"/>
        <v>85.333333333333329</v>
      </c>
      <c r="G15" s="43">
        <f t="shared" si="0"/>
        <v>102.66666666666667</v>
      </c>
    </row>
    <row r="16" spans="1:7">
      <c r="A16" s="38" t="s">
        <v>400</v>
      </c>
      <c r="B16" s="49">
        <f t="shared" ref="B16:G16" si="1">ROUND(B15/$B$7,0)</f>
        <v>1033</v>
      </c>
      <c r="C16" s="49">
        <f t="shared" si="1"/>
        <v>1233</v>
      </c>
      <c r="D16" s="49">
        <f t="shared" si="1"/>
        <v>1467</v>
      </c>
      <c r="E16" s="49">
        <f t="shared" si="1"/>
        <v>1767</v>
      </c>
      <c r="F16" s="49">
        <f t="shared" si="1"/>
        <v>2133</v>
      </c>
      <c r="G16" s="49">
        <f t="shared" si="1"/>
        <v>2567</v>
      </c>
    </row>
    <row r="17" spans="1:8">
      <c r="A17" s="38" t="s">
        <v>401</v>
      </c>
      <c r="B17" s="50">
        <v>30</v>
      </c>
      <c r="C17" s="50">
        <v>60</v>
      </c>
      <c r="D17" s="50">
        <v>120</v>
      </c>
      <c r="E17" s="50">
        <v>250</v>
      </c>
      <c r="F17" s="50">
        <v>400</v>
      </c>
      <c r="G17" s="50">
        <v>600</v>
      </c>
    </row>
    <row r="18" spans="1:8">
      <c r="A18" s="38" t="s">
        <v>402</v>
      </c>
      <c r="B18" s="59">
        <v>0.5</v>
      </c>
      <c r="C18" s="59">
        <v>1</v>
      </c>
      <c r="D18" s="59">
        <v>1</v>
      </c>
      <c r="E18" s="59">
        <v>1</v>
      </c>
      <c r="F18" s="59">
        <v>1</v>
      </c>
      <c r="G18" s="59">
        <v>1</v>
      </c>
      <c r="H18" s="60" t="s">
        <v>403</v>
      </c>
    </row>
    <row r="19" spans="1:8">
      <c r="A19" s="29" t="s">
        <v>404</v>
      </c>
      <c r="B19" s="61">
        <f t="shared" ref="B19:G19" si="2">B14*$B$8*B18</f>
        <v>23715</v>
      </c>
      <c r="C19" s="61">
        <f t="shared" si="2"/>
        <v>56610</v>
      </c>
      <c r="D19" s="61">
        <f t="shared" si="2"/>
        <v>67320</v>
      </c>
      <c r="E19" s="61">
        <f t="shared" si="2"/>
        <v>81090</v>
      </c>
      <c r="F19" s="61">
        <f t="shared" si="2"/>
        <v>97920</v>
      </c>
      <c r="G19" s="61">
        <f t="shared" si="2"/>
        <v>117810</v>
      </c>
    </row>
    <row r="20" spans="1:8">
      <c r="A20" s="38" t="s">
        <v>405</v>
      </c>
      <c r="B20" s="39">
        <f t="shared" ref="B20:G20" si="3">B14*$B$8/0.15</f>
        <v>316200</v>
      </c>
      <c r="C20" s="39">
        <f t="shared" si="3"/>
        <v>377400</v>
      </c>
      <c r="D20" s="39">
        <f t="shared" si="3"/>
        <v>448800</v>
      </c>
      <c r="E20" s="39">
        <f t="shared" si="3"/>
        <v>540600</v>
      </c>
      <c r="F20" s="39">
        <f t="shared" si="3"/>
        <v>652800</v>
      </c>
      <c r="G20" s="39">
        <f t="shared" si="3"/>
        <v>785400</v>
      </c>
    </row>
    <row r="21" spans="1:8">
      <c r="A21" s="38" t="s">
        <v>335</v>
      </c>
      <c r="B21" s="53">
        <v>14</v>
      </c>
      <c r="C21" s="53">
        <v>16</v>
      </c>
      <c r="D21" s="53">
        <v>18</v>
      </c>
      <c r="E21" s="53">
        <v>20</v>
      </c>
      <c r="F21" s="53">
        <v>22</v>
      </c>
      <c r="G21" s="53">
        <v>25</v>
      </c>
    </row>
    <row r="23" spans="1:8">
      <c r="A23" s="38" t="s">
        <v>406</v>
      </c>
      <c r="B23" s="39">
        <f>コスト棚卸し!$C$13</f>
        <v>18300</v>
      </c>
      <c r="C23" s="39">
        <f>コスト棚卸し!$C$13</f>
        <v>18300</v>
      </c>
      <c r="D23" s="39">
        <f>コスト棚卸し!$C$13</f>
        <v>18300</v>
      </c>
      <c r="E23" s="39">
        <f>コスト棚卸し!$C$13</f>
        <v>18300</v>
      </c>
      <c r="F23" s="39">
        <f>コスト棚卸し!$C$13</f>
        <v>18300</v>
      </c>
      <c r="G23" s="39">
        <f>コスト棚卸し!$C$13</f>
        <v>18300</v>
      </c>
    </row>
    <row r="24" spans="1:8">
      <c r="A24" s="38" t="s">
        <v>407</v>
      </c>
      <c r="B24" s="62" t="str">
        <f t="shared" ref="B24:G24" si="4">IF(B19&gt;=B23,"クリア","")</f>
        <v>クリア</v>
      </c>
      <c r="C24" s="62" t="str">
        <f t="shared" si="4"/>
        <v>クリア</v>
      </c>
      <c r="D24" s="62" t="str">
        <f t="shared" si="4"/>
        <v>クリア</v>
      </c>
      <c r="E24" s="62" t="str">
        <f t="shared" si="4"/>
        <v>クリア</v>
      </c>
      <c r="F24" s="62" t="str">
        <f t="shared" si="4"/>
        <v>クリア</v>
      </c>
      <c r="G24" s="62" t="str">
        <f t="shared" si="4"/>
        <v>クリア</v>
      </c>
    </row>
    <row r="26" spans="1:8">
      <c r="A26" s="58" t="s">
        <v>408</v>
      </c>
    </row>
    <row r="27" spans="1:8" ht="45" customHeight="1">
      <c r="A27" s="98" t="s">
        <v>409</v>
      </c>
      <c r="B27" s="88"/>
      <c r="C27" s="88"/>
      <c r="D27" s="88"/>
      <c r="E27" s="88"/>
      <c r="F27" s="88"/>
      <c r="G27" s="88"/>
    </row>
    <row r="29" spans="1:8" ht="40" customHeight="1">
      <c r="A29" s="100" t="s">
        <v>410</v>
      </c>
      <c r="B29" s="88"/>
      <c r="C29" s="88"/>
      <c r="D29" s="88"/>
      <c r="E29" s="88"/>
      <c r="F29" s="88"/>
      <c r="G29" s="88"/>
    </row>
    <row r="31" spans="1:8" ht="55" customHeight="1">
      <c r="A31" s="100" t="s">
        <v>411</v>
      </c>
      <c r="B31" s="88"/>
      <c r="C31" s="88"/>
      <c r="D31" s="88"/>
      <c r="E31" s="88"/>
      <c r="F31" s="88"/>
      <c r="G31" s="88"/>
    </row>
  </sheetData>
  <mergeCells count="3">
    <mergeCell ref="A27:G27"/>
    <mergeCell ref="A31:G31"/>
    <mergeCell ref="A29:G29"/>
  </mergeCells>
  <phoneticPr fontId="9"/>
  <conditionalFormatting sqref="B24:G24">
    <cfRule type="cellIs" dxfId="6" priority="1" operator="equal">
      <formula>"クリア"</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2"/>
  <sheetViews>
    <sheetView zoomScale="140" zoomScaleNormal="140" workbookViewId="0">
      <selection activeCell="B23" sqref="B23:H23"/>
    </sheetView>
  </sheetViews>
  <sheetFormatPr baseColWidth="10" defaultColWidth="8.83203125" defaultRowHeight="14"/>
  <cols>
    <col min="1" max="1" width="30" customWidth="1"/>
    <col min="2" max="2" width="34" customWidth="1"/>
    <col min="3" max="3" width="30" customWidth="1"/>
    <col min="4" max="4" width="14" customWidth="1"/>
    <col min="5" max="6" width="12" customWidth="1"/>
    <col min="7" max="7" width="10" customWidth="1"/>
    <col min="8" max="9" width="12" customWidth="1"/>
    <col min="10" max="10" width="10" customWidth="1"/>
  </cols>
  <sheetData>
    <row r="1" spans="1:10" ht="16" customHeight="1">
      <c r="A1" s="31" t="s">
        <v>412</v>
      </c>
    </row>
    <row r="2" spans="1:10">
      <c r="A2" s="30" t="s">
        <v>413</v>
      </c>
    </row>
    <row r="3" spans="1:10">
      <c r="E3" s="35" t="s">
        <v>414</v>
      </c>
    </row>
    <row r="4" spans="1:10">
      <c r="A4" s="102" t="s">
        <v>193</v>
      </c>
      <c r="B4" s="102" t="s">
        <v>415</v>
      </c>
      <c r="C4" s="102" t="s">
        <v>416</v>
      </c>
      <c r="D4" s="102" t="s">
        <v>417</v>
      </c>
      <c r="E4" s="102" t="s">
        <v>392</v>
      </c>
      <c r="F4" s="90"/>
      <c r="G4" s="91"/>
      <c r="H4" s="102" t="s">
        <v>393</v>
      </c>
      <c r="I4" s="90"/>
      <c r="J4" s="91"/>
    </row>
    <row r="5" spans="1:10">
      <c r="A5" s="103"/>
      <c r="B5" s="103"/>
      <c r="C5" s="103"/>
      <c r="D5" s="103"/>
      <c r="E5" s="36" t="s">
        <v>418</v>
      </c>
      <c r="F5" s="36" t="s">
        <v>419</v>
      </c>
      <c r="G5" s="36" t="s">
        <v>420</v>
      </c>
      <c r="H5" s="36" t="s">
        <v>418</v>
      </c>
      <c r="I5" s="36" t="s">
        <v>419</v>
      </c>
      <c r="J5" s="36" t="s">
        <v>420</v>
      </c>
    </row>
    <row r="6" spans="1:10" ht="28">
      <c r="A6" s="29" t="s">
        <v>421</v>
      </c>
      <c r="B6" s="37" t="s">
        <v>422</v>
      </c>
      <c r="C6" s="39">
        <v>1320</v>
      </c>
      <c r="D6" s="39" t="s">
        <v>423</v>
      </c>
      <c r="E6" s="40"/>
      <c r="F6" s="39">
        <f>KPI計画!B19</f>
        <v>23715</v>
      </c>
      <c r="G6" s="42" t="str">
        <f t="shared" ref="G6:G15" si="0">IF(OR(E6="",F6=""),"",F6/E6)</f>
        <v/>
      </c>
      <c r="H6" s="39">
        <f>KPI計画!C19</f>
        <v>56610</v>
      </c>
      <c r="I6" s="41"/>
      <c r="J6" s="42" t="str">
        <f t="shared" ref="J6:J15" si="1">IF(OR(H6="",I6=""),"",I6/H6)</f>
        <v/>
      </c>
    </row>
    <row r="7" spans="1:10">
      <c r="A7" s="38" t="s">
        <v>424</v>
      </c>
      <c r="B7" s="37" t="s">
        <v>425</v>
      </c>
      <c r="C7" s="43">
        <v>21</v>
      </c>
      <c r="D7" s="43">
        <v>4</v>
      </c>
      <c r="E7" s="44"/>
      <c r="F7" s="43">
        <f>KPI計画!B14</f>
        <v>31</v>
      </c>
      <c r="G7" s="42" t="str">
        <f t="shared" si="0"/>
        <v/>
      </c>
      <c r="H7" s="43">
        <f>KPI計画!C14</f>
        <v>37</v>
      </c>
      <c r="I7" s="45"/>
      <c r="J7" s="42" t="str">
        <f t="shared" si="1"/>
        <v/>
      </c>
    </row>
    <row r="8" spans="1:10" ht="28">
      <c r="A8" s="38" t="s">
        <v>426</v>
      </c>
      <c r="B8" s="37" t="s">
        <v>427</v>
      </c>
      <c r="C8" s="46">
        <v>4.1025258505748202E-2</v>
      </c>
      <c r="D8" s="46" t="s">
        <v>423</v>
      </c>
      <c r="E8" s="47"/>
      <c r="F8" s="46">
        <f>KPI計画!B18</f>
        <v>0.5</v>
      </c>
      <c r="G8" s="42" t="str">
        <f t="shared" si="0"/>
        <v/>
      </c>
      <c r="H8" s="46">
        <f>KPI計画!C18</f>
        <v>1</v>
      </c>
      <c r="I8" s="48"/>
      <c r="J8" s="42" t="str">
        <f t="shared" si="1"/>
        <v/>
      </c>
    </row>
    <row r="9" spans="1:10" ht="28" customHeight="1">
      <c r="A9" s="38" t="s">
        <v>428</v>
      </c>
      <c r="B9" s="37" t="s">
        <v>429</v>
      </c>
      <c r="C9" s="49">
        <v>702</v>
      </c>
      <c r="D9" s="49" t="s">
        <v>423</v>
      </c>
      <c r="E9" s="50"/>
      <c r="F9" s="49">
        <f>KPI計画!B16</f>
        <v>1033</v>
      </c>
      <c r="G9" s="42" t="str">
        <f t="shared" si="0"/>
        <v/>
      </c>
      <c r="H9" s="49">
        <f>KPI計画!C16</f>
        <v>1233</v>
      </c>
      <c r="I9" s="51"/>
      <c r="J9" s="42" t="str">
        <f t="shared" si="1"/>
        <v/>
      </c>
    </row>
    <row r="10" spans="1:10">
      <c r="A10" s="38" t="s">
        <v>430</v>
      </c>
      <c r="B10" s="37" t="s">
        <v>431</v>
      </c>
      <c r="C10" s="49" t="s">
        <v>423</v>
      </c>
      <c r="D10" s="49" t="s">
        <v>423</v>
      </c>
      <c r="E10" s="50"/>
      <c r="F10" s="49">
        <f>KPI計画!B17</f>
        <v>30</v>
      </c>
      <c r="G10" s="42" t="str">
        <f t="shared" si="0"/>
        <v/>
      </c>
      <c r="H10" s="49">
        <f>KPI計画!C17</f>
        <v>60</v>
      </c>
      <c r="I10" s="51"/>
      <c r="J10" s="42" t="str">
        <f t="shared" si="1"/>
        <v/>
      </c>
    </row>
    <row r="11" spans="1:10">
      <c r="A11" s="38" t="s">
        <v>432</v>
      </c>
      <c r="B11" s="37" t="s">
        <v>433</v>
      </c>
      <c r="C11" s="46">
        <v>3.9886039886039892E-2</v>
      </c>
      <c r="D11" s="46" t="s">
        <v>423</v>
      </c>
      <c r="E11" s="47"/>
      <c r="F11" s="46">
        <v>0.04</v>
      </c>
      <c r="G11" s="42" t="str">
        <f t="shared" si="0"/>
        <v/>
      </c>
      <c r="H11" s="46">
        <v>0.04</v>
      </c>
      <c r="I11" s="48"/>
      <c r="J11" s="42" t="str">
        <f t="shared" si="1"/>
        <v/>
      </c>
    </row>
    <row r="12" spans="1:10">
      <c r="A12" s="38" t="s">
        <v>434</v>
      </c>
      <c r="B12" s="37" t="s">
        <v>435</v>
      </c>
      <c r="C12" s="52">
        <v>12</v>
      </c>
      <c r="D12" s="52">
        <v>5</v>
      </c>
      <c r="E12" s="53"/>
      <c r="F12" s="52">
        <f>KPI計画!B21</f>
        <v>14</v>
      </c>
      <c r="G12" s="42" t="str">
        <f t="shared" si="0"/>
        <v/>
      </c>
      <c r="H12" s="52">
        <f>KPI計画!C21</f>
        <v>16</v>
      </c>
      <c r="I12" s="54"/>
      <c r="J12" s="42" t="str">
        <f t="shared" si="1"/>
        <v/>
      </c>
    </row>
    <row r="13" spans="1:10">
      <c r="A13" s="38" t="s">
        <v>405</v>
      </c>
      <c r="B13" s="37" t="s">
        <v>436</v>
      </c>
      <c r="C13" s="39">
        <v>214502</v>
      </c>
      <c r="D13" s="39">
        <v>102750</v>
      </c>
      <c r="E13" s="40"/>
      <c r="F13" s="39">
        <f>KPI計画!B20</f>
        <v>316200</v>
      </c>
      <c r="G13" s="42" t="str">
        <f t="shared" si="0"/>
        <v/>
      </c>
      <c r="H13" s="39">
        <f>KPI計画!C20</f>
        <v>377400</v>
      </c>
      <c r="I13" s="41"/>
      <c r="J13" s="42" t="str">
        <f t="shared" si="1"/>
        <v/>
      </c>
    </row>
    <row r="14" spans="1:10">
      <c r="A14" s="38" t="s">
        <v>437</v>
      </c>
      <c r="B14" s="37" t="s">
        <v>438</v>
      </c>
      <c r="C14" s="46">
        <v>0.1785714285714286</v>
      </c>
      <c r="D14" s="46" t="s">
        <v>423</v>
      </c>
      <c r="E14" s="47"/>
      <c r="F14" s="48"/>
      <c r="G14" s="42" t="str">
        <f t="shared" si="0"/>
        <v/>
      </c>
      <c r="H14" s="47"/>
      <c r="I14" s="48"/>
      <c r="J14" s="42" t="str">
        <f t="shared" si="1"/>
        <v/>
      </c>
    </row>
    <row r="15" spans="1:10">
      <c r="A15" s="38" t="s">
        <v>439</v>
      </c>
      <c r="B15" s="37" t="s">
        <v>440</v>
      </c>
      <c r="C15" s="55">
        <v>26</v>
      </c>
      <c r="D15" s="55" t="s">
        <v>423</v>
      </c>
      <c r="E15" s="56"/>
      <c r="F15" s="57"/>
      <c r="G15" s="42" t="str">
        <f t="shared" si="0"/>
        <v/>
      </c>
      <c r="H15" s="56"/>
      <c r="I15" s="57"/>
      <c r="J15" s="42" t="str">
        <f t="shared" si="1"/>
        <v/>
      </c>
    </row>
    <row r="17" spans="1:8">
      <c r="A17" s="30" t="s">
        <v>441</v>
      </c>
    </row>
    <row r="19" spans="1:8">
      <c r="A19" s="32" t="s">
        <v>442</v>
      </c>
    </row>
    <row r="20" spans="1:8" ht="42" customHeight="1">
      <c r="A20" s="29" t="s">
        <v>443</v>
      </c>
      <c r="B20" s="101" t="s">
        <v>444</v>
      </c>
      <c r="C20" s="90"/>
      <c r="D20" s="90"/>
      <c r="E20" s="90"/>
      <c r="F20" s="90"/>
      <c r="G20" s="90"/>
      <c r="H20" s="91"/>
    </row>
    <row r="21" spans="1:8" ht="42" customHeight="1">
      <c r="A21" s="29" t="s">
        <v>445</v>
      </c>
      <c r="B21" s="101" t="s">
        <v>446</v>
      </c>
      <c r="C21" s="90"/>
      <c r="D21" s="90"/>
      <c r="E21" s="90"/>
      <c r="F21" s="90"/>
      <c r="G21" s="90"/>
      <c r="H21" s="91"/>
    </row>
    <row r="22" spans="1:8" ht="42" customHeight="1">
      <c r="A22" s="29" t="s">
        <v>447</v>
      </c>
      <c r="B22" s="101" t="s">
        <v>448</v>
      </c>
      <c r="C22" s="90"/>
      <c r="D22" s="90"/>
      <c r="E22" s="90"/>
      <c r="F22" s="90"/>
      <c r="G22" s="90"/>
      <c r="H22" s="91"/>
    </row>
    <row r="23" spans="1:8" ht="42" customHeight="1">
      <c r="A23" s="29" t="s">
        <v>449</v>
      </c>
      <c r="B23" s="101" t="s">
        <v>450</v>
      </c>
      <c r="C23" s="90"/>
      <c r="D23" s="90"/>
      <c r="E23" s="90"/>
      <c r="F23" s="90"/>
      <c r="G23" s="90"/>
      <c r="H23" s="91"/>
    </row>
    <row r="24" spans="1:8">
      <c r="A24" s="30" t="s">
        <v>451</v>
      </c>
    </row>
    <row r="26" spans="1:8">
      <c r="A26" s="32" t="s">
        <v>452</v>
      </c>
    </row>
    <row r="27" spans="1:8">
      <c r="A27" s="28" t="s">
        <v>453</v>
      </c>
      <c r="B27" s="28" t="s">
        <v>454</v>
      </c>
      <c r="C27" s="28" t="s">
        <v>455</v>
      </c>
    </row>
    <row r="28" spans="1:8" ht="48" customHeight="1">
      <c r="A28" s="63" t="s">
        <v>456</v>
      </c>
      <c r="B28" s="37" t="s">
        <v>457</v>
      </c>
      <c r="C28" s="25" t="s">
        <v>458</v>
      </c>
    </row>
    <row r="29" spans="1:8" ht="48" customHeight="1">
      <c r="A29" s="63" t="s">
        <v>459</v>
      </c>
      <c r="B29" s="37" t="s">
        <v>460</v>
      </c>
      <c r="C29" s="25" t="s">
        <v>461</v>
      </c>
    </row>
    <row r="30" spans="1:8" ht="48" customHeight="1">
      <c r="A30" s="63" t="s">
        <v>462</v>
      </c>
      <c r="B30" s="37" t="s">
        <v>463</v>
      </c>
      <c r="C30" s="25" t="s">
        <v>464</v>
      </c>
    </row>
    <row r="31" spans="1:8" ht="48" customHeight="1">
      <c r="A31" s="63" t="s">
        <v>465</v>
      </c>
      <c r="B31" s="37" t="s">
        <v>466</v>
      </c>
      <c r="C31" s="25" t="s">
        <v>467</v>
      </c>
    </row>
    <row r="32" spans="1:8">
      <c r="A32" s="30" t="s">
        <v>468</v>
      </c>
    </row>
  </sheetData>
  <mergeCells count="10">
    <mergeCell ref="B23:H23"/>
    <mergeCell ref="B22:H22"/>
    <mergeCell ref="B4:B5"/>
    <mergeCell ref="C4:C5"/>
    <mergeCell ref="A4:A5"/>
    <mergeCell ref="B21:H21"/>
    <mergeCell ref="D4:D5"/>
    <mergeCell ref="H4:J4"/>
    <mergeCell ref="E4:G4"/>
    <mergeCell ref="B20:H20"/>
  </mergeCells>
  <phoneticPr fontId="9"/>
  <conditionalFormatting sqref="G6:G15">
    <cfRule type="cellIs" dxfId="5" priority="1" operator="greaterThanOrEqual">
      <formula>1</formula>
    </cfRule>
    <cfRule type="cellIs" dxfId="4" priority="2" operator="between">
      <formula>0.7</formula>
      <formula>0.9999</formula>
    </cfRule>
    <cfRule type="cellIs" dxfId="3" priority="3" operator="lessThan">
      <formula>0.7</formula>
    </cfRule>
  </conditionalFormatting>
  <conditionalFormatting sqref="J6:J15">
    <cfRule type="cellIs" dxfId="2" priority="4" operator="greaterThanOrEqual">
      <formula>1</formula>
    </cfRule>
    <cfRule type="cellIs" dxfId="1" priority="5" operator="between">
      <formula>0.7</formula>
      <formula>0.9999</formula>
    </cfRule>
    <cfRule type="cellIs" dxfId="0" priority="6" operator="lessThan">
      <formula>0.7</formula>
    </cfRule>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1"/>
  <sheetViews>
    <sheetView zoomScale="140" zoomScaleNormal="140" workbookViewId="0"/>
  </sheetViews>
  <sheetFormatPr baseColWidth="10" defaultColWidth="8.83203125" defaultRowHeight="14"/>
  <cols>
    <col min="1" max="1" width="34" customWidth="1"/>
    <col min="2" max="2" width="30" customWidth="1"/>
    <col min="3" max="3" width="56" customWidth="1"/>
  </cols>
  <sheetData>
    <row r="1" spans="1:3" ht="16" customHeight="1">
      <c r="A1" s="31" t="s">
        <v>469</v>
      </c>
    </row>
    <row r="2" spans="1:3">
      <c r="A2" s="30" t="s">
        <v>155</v>
      </c>
    </row>
    <row r="4" spans="1:3">
      <c r="A4" s="32" t="s">
        <v>470</v>
      </c>
    </row>
    <row r="5" spans="1:3">
      <c r="A5" s="28" t="s">
        <v>193</v>
      </c>
      <c r="B5" s="28" t="s">
        <v>157</v>
      </c>
      <c r="C5" s="28" t="s">
        <v>226</v>
      </c>
    </row>
    <row r="6" spans="1:3" ht="15" customHeight="1">
      <c r="A6" s="25" t="s">
        <v>471</v>
      </c>
      <c r="B6" s="25" t="s">
        <v>472</v>
      </c>
      <c r="C6" s="25" t="s">
        <v>473</v>
      </c>
    </row>
    <row r="7" spans="1:3" ht="15" customHeight="1">
      <c r="A7" s="25" t="s">
        <v>474</v>
      </c>
      <c r="B7" s="25" t="s">
        <v>475</v>
      </c>
      <c r="C7" s="25" t="s">
        <v>476</v>
      </c>
    </row>
    <row r="8" spans="1:3" ht="15" customHeight="1">
      <c r="A8" s="25" t="s">
        <v>477</v>
      </c>
      <c r="B8" s="25" t="s">
        <v>478</v>
      </c>
      <c r="C8" s="25"/>
    </row>
    <row r="9" spans="1:3" ht="15" customHeight="1">
      <c r="A9" s="25" t="s">
        <v>479</v>
      </c>
      <c r="B9" s="25" t="s">
        <v>480</v>
      </c>
      <c r="C9" s="25" t="s">
        <v>481</v>
      </c>
    </row>
    <row r="11" spans="1:3">
      <c r="A11" s="32" t="s">
        <v>482</v>
      </c>
    </row>
    <row r="12" spans="1:3">
      <c r="A12" s="28" t="s">
        <v>193</v>
      </c>
      <c r="B12" s="28" t="s">
        <v>157</v>
      </c>
      <c r="C12" s="28" t="s">
        <v>226</v>
      </c>
    </row>
    <row r="13" spans="1:3" ht="15" customHeight="1">
      <c r="A13" s="25" t="s">
        <v>483</v>
      </c>
      <c r="B13" s="25" t="s">
        <v>484</v>
      </c>
      <c r="C13" s="25" t="s">
        <v>485</v>
      </c>
    </row>
    <row r="14" spans="1:3" ht="15" customHeight="1">
      <c r="A14" s="25" t="s">
        <v>486</v>
      </c>
      <c r="B14" s="25" t="s">
        <v>487</v>
      </c>
      <c r="C14" s="25" t="s">
        <v>488</v>
      </c>
    </row>
    <row r="15" spans="1:3" ht="15" customHeight="1">
      <c r="A15" s="25" t="s">
        <v>489</v>
      </c>
      <c r="B15" s="25" t="s">
        <v>490</v>
      </c>
      <c r="C15" s="25" t="s">
        <v>491</v>
      </c>
    </row>
    <row r="17" spans="1:1">
      <c r="A17" s="32" t="s">
        <v>492</v>
      </c>
    </row>
    <row r="18" spans="1:1" ht="45" customHeight="1">
      <c r="A18" s="22" t="s">
        <v>493</v>
      </c>
    </row>
    <row r="19" spans="1:1" ht="30" customHeight="1">
      <c r="A19" s="22" t="s">
        <v>494</v>
      </c>
    </row>
    <row r="20" spans="1:1" ht="45" customHeight="1">
      <c r="A20" s="22" t="s">
        <v>495</v>
      </c>
    </row>
    <row r="21" spans="1:1" ht="30" customHeight="1">
      <c r="A21" s="22" t="s">
        <v>496</v>
      </c>
    </row>
  </sheetData>
  <phoneticPr fontId="9"/>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zoomScale="140" zoomScaleNormal="140" workbookViewId="0">
      <selection activeCell="D7" sqref="D7"/>
    </sheetView>
  </sheetViews>
  <sheetFormatPr baseColWidth="10" defaultColWidth="8.83203125" defaultRowHeight="14"/>
  <cols>
    <col min="1" max="1" width="6" customWidth="1"/>
    <col min="2" max="2" width="52" customWidth="1"/>
    <col min="3" max="3" width="48" customWidth="1"/>
    <col min="4" max="4" width="36" customWidth="1"/>
  </cols>
  <sheetData>
    <row r="1" spans="1:4" ht="16" customHeight="1">
      <c r="A1" s="31" t="s">
        <v>497</v>
      </c>
    </row>
    <row r="2" spans="1:4">
      <c r="A2" s="30" t="s">
        <v>155</v>
      </c>
    </row>
    <row r="4" spans="1:4">
      <c r="A4" s="28" t="s">
        <v>498</v>
      </c>
      <c r="B4" s="28" t="s">
        <v>499</v>
      </c>
      <c r="C4" s="28" t="s">
        <v>500</v>
      </c>
      <c r="D4" s="28" t="s">
        <v>501</v>
      </c>
    </row>
    <row r="5" spans="1:4" ht="60" customHeight="1">
      <c r="A5" s="25">
        <v>1</v>
      </c>
      <c r="B5" s="25" t="s">
        <v>502</v>
      </c>
      <c r="C5" s="25" t="s">
        <v>503</v>
      </c>
      <c r="D5" s="82" t="s">
        <v>504</v>
      </c>
    </row>
    <row r="6" spans="1:4" ht="60" customHeight="1">
      <c r="A6" s="25">
        <v>2</v>
      </c>
      <c r="B6" s="25" t="s">
        <v>505</v>
      </c>
      <c r="C6" s="25" t="s">
        <v>506</v>
      </c>
      <c r="D6" s="82" t="s">
        <v>507</v>
      </c>
    </row>
    <row r="7" spans="1:4" ht="60" customHeight="1">
      <c r="A7" s="25">
        <v>3</v>
      </c>
      <c r="B7" s="25" t="s">
        <v>508</v>
      </c>
      <c r="C7" s="25" t="s">
        <v>509</v>
      </c>
      <c r="D7" s="82" t="s">
        <v>510</v>
      </c>
    </row>
    <row r="8" spans="1:4" ht="60" customHeight="1">
      <c r="A8" s="25">
        <v>4</v>
      </c>
      <c r="B8" s="25" t="s">
        <v>511</v>
      </c>
      <c r="C8" s="25" t="s">
        <v>512</v>
      </c>
      <c r="D8" s="82" t="s">
        <v>513</v>
      </c>
    </row>
    <row r="9" spans="1:4" ht="60" customHeight="1">
      <c r="A9" s="25">
        <v>5</v>
      </c>
      <c r="B9" s="25" t="s">
        <v>514</v>
      </c>
      <c r="C9" s="25" t="s">
        <v>515</v>
      </c>
      <c r="D9" s="83" t="s">
        <v>516</v>
      </c>
    </row>
    <row r="10" spans="1:4" ht="60" customHeight="1">
      <c r="A10" s="25">
        <v>6</v>
      </c>
      <c r="B10" s="25" t="s">
        <v>517</v>
      </c>
      <c r="C10" s="25" t="s">
        <v>518</v>
      </c>
      <c r="D10" s="82" t="s">
        <v>519</v>
      </c>
    </row>
    <row r="11" spans="1:4" ht="60" customHeight="1">
      <c r="A11" s="25">
        <v>7</v>
      </c>
      <c r="B11" s="25" t="s">
        <v>520</v>
      </c>
      <c r="C11" s="25" t="s">
        <v>521</v>
      </c>
      <c r="D11" s="83" t="s">
        <v>522</v>
      </c>
    </row>
  </sheetData>
  <phoneticPr fontId="9"/>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6"/>
  <sheetViews>
    <sheetView zoomScale="140" zoomScaleNormal="140" workbookViewId="0"/>
  </sheetViews>
  <sheetFormatPr baseColWidth="10" defaultColWidth="8.83203125" defaultRowHeight="14"/>
  <cols>
    <col min="1" max="1" width="30" customWidth="1"/>
    <col min="2" max="2" width="95" customWidth="1"/>
    <col min="3" max="3" width="60" customWidth="1"/>
  </cols>
  <sheetData>
    <row r="1" spans="1:2" ht="16" customHeight="1">
      <c r="A1" s="31" t="s">
        <v>523</v>
      </c>
    </row>
    <row r="2" spans="1:2">
      <c r="A2" s="30" t="s">
        <v>524</v>
      </c>
    </row>
    <row r="4" spans="1:2">
      <c r="A4" s="32" t="s">
        <v>525</v>
      </c>
      <c r="B4" s="22"/>
    </row>
    <row r="5" spans="1:2" ht="45" customHeight="1">
      <c r="A5" s="29" t="s">
        <v>526</v>
      </c>
      <c r="B5" s="25" t="s">
        <v>527</v>
      </c>
    </row>
    <row r="6" spans="1:2" ht="15" customHeight="1">
      <c r="A6" s="29" t="s">
        <v>528</v>
      </c>
      <c r="B6" s="25" t="s">
        <v>529</v>
      </c>
    </row>
    <row r="7" spans="1:2" ht="30" customHeight="1">
      <c r="A7" s="29" t="s">
        <v>530</v>
      </c>
      <c r="B7" s="25" t="s">
        <v>531</v>
      </c>
    </row>
    <row r="8" spans="1:2">
      <c r="B8" s="22"/>
    </row>
    <row r="9" spans="1:2">
      <c r="A9" s="32" t="s">
        <v>532</v>
      </c>
      <c r="B9" s="22"/>
    </row>
    <row r="10" spans="1:2" ht="30" customHeight="1">
      <c r="A10" s="29" t="s">
        <v>533</v>
      </c>
      <c r="B10" s="25" t="s">
        <v>534</v>
      </c>
    </row>
    <row r="11" spans="1:2" ht="30" customHeight="1">
      <c r="A11" s="29" t="s">
        <v>535</v>
      </c>
      <c r="B11" s="25" t="s">
        <v>536</v>
      </c>
    </row>
    <row r="12" spans="1:2" ht="30" customHeight="1">
      <c r="A12" s="29" t="s">
        <v>537</v>
      </c>
      <c r="B12" s="25" t="s">
        <v>538</v>
      </c>
    </row>
    <row r="13" spans="1:2" ht="15" customHeight="1">
      <c r="A13" s="29" t="s">
        <v>539</v>
      </c>
      <c r="B13" s="25" t="s">
        <v>540</v>
      </c>
    </row>
    <row r="14" spans="1:2">
      <c r="B14" s="22"/>
    </row>
    <row r="15" spans="1:2">
      <c r="A15" s="32" t="s">
        <v>541</v>
      </c>
      <c r="B15" s="22"/>
    </row>
    <row r="16" spans="1:2" ht="15" customHeight="1">
      <c r="A16" s="29" t="s">
        <v>542</v>
      </c>
      <c r="B16" s="25" t="s">
        <v>543</v>
      </c>
    </row>
    <row r="17" spans="1:3" ht="15" customHeight="1">
      <c r="A17" s="29" t="s">
        <v>544</v>
      </c>
      <c r="B17" s="25" t="s">
        <v>545</v>
      </c>
    </row>
    <row r="18" spans="1:3" ht="15" customHeight="1">
      <c r="A18" s="29" t="s">
        <v>546</v>
      </c>
      <c r="B18" s="25" t="s">
        <v>547</v>
      </c>
    </row>
    <row r="19" spans="1:3" ht="15" customHeight="1">
      <c r="A19" s="29" t="s">
        <v>548</v>
      </c>
      <c r="B19" s="25" t="s">
        <v>549</v>
      </c>
    </row>
    <row r="20" spans="1:3">
      <c r="B20" s="22"/>
    </row>
    <row r="21" spans="1:3">
      <c r="A21" s="32" t="s">
        <v>550</v>
      </c>
      <c r="B21" s="22"/>
    </row>
    <row r="22" spans="1:3" ht="30" customHeight="1">
      <c r="A22" s="29" t="s">
        <v>551</v>
      </c>
      <c r="B22" s="25" t="s">
        <v>552</v>
      </c>
    </row>
    <row r="23" spans="1:3" ht="30" customHeight="1">
      <c r="A23" s="29" t="s">
        <v>553</v>
      </c>
      <c r="B23" s="25" t="s">
        <v>554</v>
      </c>
    </row>
    <row r="24" spans="1:3" ht="30" customHeight="1">
      <c r="A24" s="29" t="s">
        <v>555</v>
      </c>
      <c r="B24" s="25" t="s">
        <v>556</v>
      </c>
    </row>
    <row r="26" spans="1:3">
      <c r="A26" s="32" t="s">
        <v>557</v>
      </c>
    </row>
    <row r="27" spans="1:3">
      <c r="A27" s="28" t="s">
        <v>558</v>
      </c>
      <c r="B27" s="28" t="s">
        <v>157</v>
      </c>
      <c r="C27" s="28" t="s">
        <v>559</v>
      </c>
    </row>
    <row r="28" spans="1:3" ht="30" customHeight="1">
      <c r="A28" s="25" t="s">
        <v>137</v>
      </c>
      <c r="B28" s="25" t="s">
        <v>362</v>
      </c>
      <c r="C28" s="25" t="s">
        <v>560</v>
      </c>
    </row>
    <row r="29" spans="1:3" ht="15" customHeight="1">
      <c r="A29" s="25" t="s">
        <v>561</v>
      </c>
      <c r="B29" s="25" t="s">
        <v>423</v>
      </c>
      <c r="C29" s="25" t="s">
        <v>562</v>
      </c>
    </row>
    <row r="30" spans="1:3" ht="15" customHeight="1">
      <c r="A30" s="25" t="s">
        <v>168</v>
      </c>
      <c r="B30" s="25" t="s">
        <v>563</v>
      </c>
      <c r="C30" s="25" t="s">
        <v>564</v>
      </c>
    </row>
    <row r="31" spans="1:3" ht="15" customHeight="1">
      <c r="A31" s="25" t="s">
        <v>171</v>
      </c>
      <c r="B31" s="25" t="s">
        <v>484</v>
      </c>
      <c r="C31" s="25" t="s">
        <v>565</v>
      </c>
    </row>
    <row r="32" spans="1:3" ht="30" customHeight="1">
      <c r="A32" s="25" t="s">
        <v>566</v>
      </c>
      <c r="B32" s="25" t="s">
        <v>423</v>
      </c>
      <c r="C32" s="25" t="s">
        <v>567</v>
      </c>
    </row>
    <row r="33" spans="1:3" ht="15" customHeight="1">
      <c r="A33" s="25" t="s">
        <v>568</v>
      </c>
      <c r="B33" s="25" t="s">
        <v>569</v>
      </c>
      <c r="C33" s="25" t="s">
        <v>570</v>
      </c>
    </row>
    <row r="34" spans="1:3" ht="15" customHeight="1">
      <c r="A34" s="25" t="s">
        <v>571</v>
      </c>
      <c r="B34" s="25" t="s">
        <v>572</v>
      </c>
      <c r="C34" s="25" t="s">
        <v>573</v>
      </c>
    </row>
    <row r="35" spans="1:3" ht="30" customHeight="1">
      <c r="A35" s="25" t="s">
        <v>574</v>
      </c>
      <c r="B35" s="25" t="s">
        <v>217</v>
      </c>
      <c r="C35" s="25" t="s">
        <v>575</v>
      </c>
    </row>
    <row r="36" spans="1:3" ht="15" customHeight="1">
      <c r="A36" s="25" t="s">
        <v>360</v>
      </c>
      <c r="B36" s="25" t="s">
        <v>320</v>
      </c>
      <c r="C36" s="25" t="s">
        <v>576</v>
      </c>
    </row>
    <row r="37" spans="1:3" ht="30" customHeight="1">
      <c r="A37" s="25" t="s">
        <v>577</v>
      </c>
      <c r="B37" s="25" t="s">
        <v>423</v>
      </c>
      <c r="C37" s="25" t="s">
        <v>578</v>
      </c>
    </row>
    <row r="38" spans="1:3" ht="15" customHeight="1">
      <c r="A38" s="25" t="s">
        <v>579</v>
      </c>
      <c r="B38" s="25" t="s">
        <v>283</v>
      </c>
      <c r="C38" s="25" t="s">
        <v>580</v>
      </c>
    </row>
    <row r="39" spans="1:3" ht="15" customHeight="1">
      <c r="A39" s="25" t="s">
        <v>581</v>
      </c>
      <c r="B39" s="25" t="s">
        <v>582</v>
      </c>
      <c r="C39" s="25" t="s">
        <v>583</v>
      </c>
    </row>
    <row r="40" spans="1:3" ht="15" customHeight="1">
      <c r="A40" s="25" t="s">
        <v>584</v>
      </c>
      <c r="B40" s="25" t="s">
        <v>585</v>
      </c>
      <c r="C40" s="25" t="s">
        <v>586</v>
      </c>
    </row>
    <row r="41" spans="1:3" ht="15" customHeight="1">
      <c r="A41" s="25" t="s">
        <v>587</v>
      </c>
      <c r="B41" s="25" t="s">
        <v>588</v>
      </c>
      <c r="C41" s="25" t="s">
        <v>589</v>
      </c>
    </row>
    <row r="42" spans="1:3" ht="15" customHeight="1">
      <c r="A42" s="25" t="s">
        <v>590</v>
      </c>
      <c r="B42" s="25" t="s">
        <v>591</v>
      </c>
      <c r="C42" s="25" t="s">
        <v>592</v>
      </c>
    </row>
    <row r="44" spans="1:3">
      <c r="A44" s="32" t="s">
        <v>593</v>
      </c>
    </row>
    <row r="45" spans="1:3" ht="30" customHeight="1">
      <c r="A45" s="29" t="s">
        <v>594</v>
      </c>
      <c r="B45" s="25" t="s">
        <v>595</v>
      </c>
    </row>
    <row r="46" spans="1:3" ht="15" customHeight="1">
      <c r="A46" s="29" t="s">
        <v>596</v>
      </c>
      <c r="B46" s="25" t="s">
        <v>597</v>
      </c>
    </row>
    <row r="47" spans="1:3" ht="30" customHeight="1">
      <c r="A47" s="29" t="s">
        <v>598</v>
      </c>
      <c r="B47" s="25" t="s">
        <v>599</v>
      </c>
    </row>
    <row r="49" spans="1:2">
      <c r="A49" s="84" t="s">
        <v>600</v>
      </c>
    </row>
    <row r="50" spans="1:2" ht="30">
      <c r="A50" s="85" t="s">
        <v>601</v>
      </c>
      <c r="B50" s="86" t="s">
        <v>602</v>
      </c>
    </row>
    <row r="51" spans="1:2" ht="15">
      <c r="A51" s="85" t="s">
        <v>603</v>
      </c>
      <c r="B51" s="86" t="s">
        <v>604</v>
      </c>
    </row>
    <row r="52" spans="1:2" ht="15">
      <c r="A52" s="85" t="s">
        <v>605</v>
      </c>
      <c r="B52" s="86" t="s">
        <v>606</v>
      </c>
    </row>
    <row r="53" spans="1:2" ht="15">
      <c r="A53" s="85" t="s">
        <v>607</v>
      </c>
      <c r="B53" s="86" t="s">
        <v>608</v>
      </c>
    </row>
    <row r="54" spans="1:2" ht="15">
      <c r="A54" s="85" t="s">
        <v>147</v>
      </c>
      <c r="B54" s="86" t="s">
        <v>609</v>
      </c>
    </row>
    <row r="55" spans="1:2" ht="30">
      <c r="A55" s="85" t="s">
        <v>610</v>
      </c>
      <c r="B55" s="86" t="s">
        <v>611</v>
      </c>
    </row>
    <row r="56" spans="1:2" ht="15">
      <c r="A56" s="85" t="s">
        <v>612</v>
      </c>
      <c r="B56" s="86" t="s">
        <v>613</v>
      </c>
    </row>
  </sheetData>
  <phoneticPr fontId="9"/>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12</vt:i4>
      </vt:variant>
    </vt:vector>
  </HeadingPairs>
  <TitlesOfParts>
    <vt:vector size="12" baseType="lpstr">
      <vt:lpstr>はじめに</vt:lpstr>
      <vt:lpstr>実態サマリー</vt:lpstr>
      <vt:lpstr>収益の論点</vt:lpstr>
      <vt:lpstr>コスト棚卸し</vt:lpstr>
      <vt:lpstr>試算モデル</vt:lpstr>
      <vt:lpstr>月別実績</vt:lpstr>
      <vt:lpstr>KPIツリー</vt:lpstr>
      <vt:lpstr>KPI計画</vt:lpstr>
      <vt:lpstr>KPI進捗</vt:lpstr>
      <vt:lpstr>需給分析</vt:lpstr>
      <vt:lpstr>確認リスト</vt:lpstr>
      <vt:lpstr>出典と経緯</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清野 奨稀</cp:lastModifiedBy>
  <dcterms:created xsi:type="dcterms:W3CDTF">2026-06-11T03:55:38Z</dcterms:created>
  <dcterms:modified xsi:type="dcterms:W3CDTF">2026-06-12T06:33:08Z</dcterms:modified>
</cp:coreProperties>
</file>