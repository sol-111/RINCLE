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080" yWindow="600" windowWidth="30080" windowHeight="33240" tabRatio="600" firstSheet="0" activeTab="6" autoFilterDateGrouping="1"/>
  </bookViews>
  <sheets>
    <sheet name="はじめに" sheetId="1" state="visible" r:id="rId1"/>
    <sheet name="実態サマリー" sheetId="2" state="visible" r:id="rId2"/>
    <sheet name="収益の論点" sheetId="3" state="visible" r:id="rId3"/>
    <sheet name="コスト棚卸し" sheetId="4" state="visible" r:id="rId4"/>
    <sheet name="試算モデル" sheetId="5" state="visible" r:id="rId5"/>
    <sheet name="月別実績" sheetId="6" state="visible" r:id="rId6"/>
    <sheet name="KPIツリー" sheetId="7" state="visible" r:id="rId7"/>
    <sheet name="KPI計画" sheetId="8" state="visible" r:id="rId8"/>
    <sheet name="KPI進捗" sheetId="9" state="visible" r:id="rId9"/>
    <sheet name="需給分析" sheetId="10" state="visible" r:id="rId10"/>
    <sheet name="確認リスト" sheetId="11" state="visible" r:id="rId11"/>
    <sheet name="出典と経緯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#,##0&quot;円&quot;"/>
    <numFmt numFmtId="166" formatCode="0&quot;件&quot;"/>
    <numFmt numFmtId="167" formatCode="0.0&quot;件&quot;"/>
    <numFmt numFmtId="168" formatCode="0.00&quot;倍&quot;"/>
    <numFmt numFmtId="169" formatCode="0&quot;店&quot;"/>
    <numFmt numFmtId="170" formatCode="0&quot;人&quot;"/>
    <numFmt numFmtId="171" formatCode="&quot;¥&quot;#,##0;[Red]&quot;¥&quot;\-#,##0"/>
  </numFmts>
  <fonts count="28">
    <font>
      <name val="ＭＳ Ｐゴシック"/>
      <family val="2"/>
      <color theme="1"/>
      <sz val="11"/>
      <scheme val="minor"/>
    </font>
    <font>
      <name val="ＭＳ Ｐゴシック"/>
      <charset val="128"/>
      <family val="2"/>
      <b val="1"/>
      <sz val="14"/>
    </font>
    <font>
      <name val="ＭＳ Ｐゴシック"/>
      <charset val="128"/>
      <family val="2"/>
      <color rgb="FF808080"/>
      <sz val="10"/>
    </font>
    <font>
      <name val="ＭＳ Ｐゴシック"/>
      <charset val="128"/>
      <family val="2"/>
      <b val="1"/>
      <sz val="11"/>
    </font>
    <font>
      <name val="ＭＳ Ｐゴシック"/>
      <charset val="128"/>
      <family val="2"/>
      <color rgb="FF808080"/>
      <sz val="9"/>
    </font>
    <font>
      <name val="ＭＳ Ｐゴシック"/>
      <charset val="128"/>
      <family val="2"/>
      <b val="1"/>
      <color rgb="FFFFFFFF"/>
      <sz val="11"/>
    </font>
    <font>
      <name val="ＭＳ Ｐゴシック"/>
      <charset val="128"/>
      <family val="2"/>
      <sz val="10"/>
    </font>
    <font>
      <name val="ＭＳ Ｐゴシック"/>
      <charset val="128"/>
      <family val="2"/>
      <b val="1"/>
      <sz val="13"/>
    </font>
    <font>
      <name val="ＭＳ Ｐゴシック"/>
      <charset val="128"/>
      <family val="2"/>
      <color rgb="FF606060"/>
      <sz val="9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2"/>
      <b val="1"/>
      <sz val="13"/>
    </font>
    <font>
      <name val="ＭＳ Ｐゴシック"/>
      <charset val="128"/>
      <family val="2"/>
      <color rgb="FF808080"/>
      <sz val="9"/>
    </font>
    <font>
      <name val="ＭＳ Ｐゴシック"/>
      <charset val="128"/>
      <family val="2"/>
      <b val="1"/>
      <sz val="11"/>
    </font>
    <font>
      <name val="ＭＳ Ｐゴシック"/>
      <charset val="128"/>
      <family val="2"/>
      <b val="1"/>
      <color rgb="FFFFFFFF"/>
      <sz val="11"/>
    </font>
    <font>
      <name val="ＭＳ Ｐゴシック"/>
      <charset val="128"/>
      <family val="2"/>
      <b val="1"/>
      <sz val="12"/>
    </font>
    <font>
      <name val="ＭＳ Ｐゴシック"/>
      <charset val="128"/>
      <family val="2"/>
      <b val="1"/>
      <sz val="11"/>
    </font>
    <font>
      <name val="ＭＳ Ｐゴシック"/>
      <charset val="128"/>
      <family val="2"/>
      <color rgb="FF808080"/>
      <sz val="8"/>
    </font>
    <font>
      <name val="ＭＳ Ｐゴシック"/>
      <charset val="128"/>
      <family val="2"/>
      <sz val="9"/>
    </font>
    <font>
      <name val="ＭＳ Ｐゴシック"/>
      <charset val="128"/>
      <family val="2"/>
      <color rgb="FF606060"/>
      <sz val="9"/>
    </font>
    <font>
      <name val="ＭＳ Ｐゴシック"/>
      <charset val="128"/>
      <family val="2"/>
      <b val="1"/>
      <sz val="10"/>
    </font>
    <font>
      <name val="ＭＳ Ｐゴシック"/>
      <charset val="128"/>
      <family val="2"/>
      <b val="1"/>
      <sz val="15"/>
    </font>
    <font>
      <name val="ＭＳ Ｐゴシック"/>
      <charset val="128"/>
      <family val="2"/>
      <color rgb="FF000000"/>
      <sz val="10"/>
    </font>
    <font>
      <name val="ＭＳ Ｐゴシック"/>
      <charset val="128"/>
      <family val="2"/>
      <color rgb="FF000000"/>
      <sz val="9"/>
    </font>
    <font>
      <name val="ＭＳ Ｐゴシック"/>
      <charset val="128"/>
      <family val="2"/>
      <b val="1"/>
      <sz val="9"/>
    </font>
    <font>
      <name val="ＭＳ Ｐゴシック"/>
      <charset val="128"/>
      <family val="2"/>
      <sz val="10"/>
    </font>
    <font>
      <name val="ＭＳ Ｐゴシック"/>
      <charset val="128"/>
      <family val="2"/>
      <color rgb="FF606060"/>
      <sz val="9"/>
    </font>
    <font>
      <name val="ＭＳ Ｐゴシック"/>
      <charset val="128"/>
      <family val="2"/>
      <b val="1"/>
      <sz val="11"/>
    </font>
    <font>
      <name val="ＭＳ Ｐゴシック"/>
      <charset val="128"/>
      <family val="2"/>
      <b val="1"/>
      <sz val="11"/>
    </font>
  </fonts>
  <fills count="1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1F3864"/>
      </patternFill>
    </fill>
    <fill>
      <patternFill patternType="solid">
        <fgColor rgb="FFFCE4EC"/>
      </patternFill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D9E2F3"/>
      </patternFill>
    </fill>
    <fill>
      <patternFill patternType="solid">
        <fgColor rgb="FFFBE5D6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00FFF2CC"/>
        <bgColor rgb="00FFF2CC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0" fontId="4" fillId="0" borderId="0" pivotButton="0" quotePrefix="0" xfId="0"/>
    <xf numFmtId="165" fontId="0" fillId="2" borderId="1" pivotButton="0" quotePrefix="0" xfId="0"/>
    <xf numFmtId="166" fontId="0" fillId="2" borderId="1" pivotButton="0" quotePrefix="0" xfId="0"/>
    <xf numFmtId="165" fontId="3" fillId="3" borderId="1" pivotButton="0" quotePrefix="0" xfId="0"/>
    <xf numFmtId="167" fontId="3" fillId="3" borderId="1" pivotButton="0" quotePrefix="0" xfId="0"/>
    <xf numFmtId="168" fontId="3" fillId="3" borderId="1" pivotButton="0" quotePrefix="0" xfId="0"/>
    <xf numFmtId="0" fontId="5" fillId="4" borderId="1" pivotButton="0" quotePrefix="0" xfId="0"/>
    <xf numFmtId="165" fontId="5" fillId="4" borderId="1" pivotButton="0" quotePrefix="0" xfId="0"/>
    <xf numFmtId="166" fontId="3" fillId="0" borderId="1" pivotButton="0" quotePrefix="0" xfId="0"/>
    <xf numFmtId="165" fontId="0" fillId="3" borderId="1" pivotButton="0" quotePrefix="0" xfId="0"/>
    <xf numFmtId="166" fontId="0" fillId="0" borderId="1" pivotButton="0" quotePrefix="0" xfId="0"/>
    <xf numFmtId="0" fontId="3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5" borderId="1" pivotButton="0" quotePrefix="0" xfId="0"/>
    <xf numFmtId="165" fontId="3" fillId="0" borderId="1" pivotButton="0" quotePrefix="0" xfId="0"/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15" fillId="9" borderId="2" pivotButton="0" quotePrefix="0" xfId="0"/>
    <xf numFmtId="0" fontId="0" fillId="0" borderId="2" applyAlignment="1" pivotButton="0" quotePrefix="0" xfId="0">
      <alignment vertical="top" wrapText="1"/>
    </xf>
    <xf numFmtId="0" fontId="15" fillId="10" borderId="2" pivotButton="0" quotePrefix="0" xfId="0"/>
    <xf numFmtId="0" fontId="15" fillId="8" borderId="2" pivotButton="0" quotePrefix="0" xfId="0"/>
    <xf numFmtId="0" fontId="13" fillId="6" borderId="2" pivotButton="0" quotePrefix="0" xfId="0"/>
    <xf numFmtId="0" fontId="15" fillId="0" borderId="2" pivotButton="0" quotePrefix="0" xfId="0"/>
    <xf numFmtId="0" fontId="11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16" fillId="0" borderId="0" pivotButton="0" quotePrefix="0" xfId="0"/>
    <xf numFmtId="0" fontId="13" fillId="6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top" wrapText="1"/>
    </xf>
    <xf numFmtId="0" fontId="0" fillId="0" borderId="2" pivotButton="0" quotePrefix="0" xfId="0"/>
    <xf numFmtId="165" fontId="0" fillId="10" borderId="2" pivotButton="0" quotePrefix="0" xfId="0"/>
    <xf numFmtId="165" fontId="0" fillId="9" borderId="2" pivotButton="0" quotePrefix="0" xfId="0"/>
    <xf numFmtId="165" fontId="0" fillId="0" borderId="2" pivotButton="0" quotePrefix="0" xfId="0"/>
    <xf numFmtId="9" fontId="0" fillId="0" borderId="2" pivotButton="0" quotePrefix="0" xfId="0"/>
    <xf numFmtId="166" fontId="0" fillId="10" borderId="2" pivotButton="0" quotePrefix="0" xfId="0"/>
    <xf numFmtId="166" fontId="0" fillId="9" borderId="2" pivotButton="0" quotePrefix="0" xfId="0"/>
    <xf numFmtId="166" fontId="0" fillId="0" borderId="2" pivotButton="0" quotePrefix="0" xfId="0"/>
    <xf numFmtId="164" fontId="0" fillId="10" borderId="2" pivotButton="0" quotePrefix="0" xfId="0"/>
    <xf numFmtId="164" fontId="0" fillId="9" borderId="2" pivotButton="0" quotePrefix="0" xfId="0"/>
    <xf numFmtId="164" fontId="0" fillId="0" borderId="2" pivotButton="0" quotePrefix="0" xfId="0"/>
    <xf numFmtId="3" fontId="0" fillId="10" borderId="2" pivotButton="0" quotePrefix="0" xfId="0"/>
    <xf numFmtId="3" fontId="0" fillId="9" borderId="2" pivotButton="0" quotePrefix="0" xfId="0"/>
    <xf numFmtId="3" fontId="0" fillId="0" borderId="2" pivotButton="0" quotePrefix="0" xfId="0"/>
    <xf numFmtId="169" fontId="0" fillId="10" borderId="2" pivotButton="0" quotePrefix="0" xfId="0"/>
    <xf numFmtId="169" fontId="0" fillId="9" borderId="2" pivotButton="0" quotePrefix="0" xfId="0"/>
    <xf numFmtId="169" fontId="0" fillId="0" borderId="2" pivotButton="0" quotePrefix="0" xfId="0"/>
    <xf numFmtId="170" fontId="0" fillId="10" borderId="2" pivotButton="0" quotePrefix="0" xfId="0"/>
    <xf numFmtId="170" fontId="0" fillId="9" borderId="2" pivotButton="0" quotePrefix="0" xfId="0"/>
    <xf numFmtId="170" fontId="0" fillId="0" borderId="2" pivotButton="0" quotePrefix="0" xfId="0"/>
    <xf numFmtId="0" fontId="15" fillId="0" borderId="0" pivotButton="0" quotePrefix="0" xfId="0"/>
    <xf numFmtId="9" fontId="0" fillId="9" borderId="2" pivotButton="0" quotePrefix="0" xfId="0"/>
    <xf numFmtId="0" fontId="18" fillId="0" borderId="0" pivotButton="0" quotePrefix="0" xfId="0"/>
    <xf numFmtId="165" fontId="15" fillId="10" borderId="2" pivotButton="0" quotePrefix="0" xfId="0"/>
    <xf numFmtId="0" fontId="0" fillId="0" borderId="2" applyAlignment="1" pivotButton="0" quotePrefix="0" xfId="0">
      <alignment horizontal="center"/>
    </xf>
    <xf numFmtId="0" fontId="15" fillId="0" borderId="2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5" fillId="8" borderId="0" pivotButton="0" quotePrefix="0" xfId="0"/>
    <xf numFmtId="0" fontId="0" fillId="8" borderId="0" pivotButton="0" quotePrefix="0" xfId="0"/>
    <xf numFmtId="0" fontId="20" fillId="0" borderId="0" pivotButton="0" quotePrefix="0" xfId="0"/>
    <xf numFmtId="0" fontId="15" fillId="11" borderId="2" pivotButton="0" quotePrefix="0" xfId="0"/>
    <xf numFmtId="0" fontId="23" fillId="11" borderId="2" pivotButton="0" quotePrefix="0" xfId="0"/>
    <xf numFmtId="0" fontId="15" fillId="7" borderId="2" pivotButton="0" quotePrefix="0" xfId="0"/>
    <xf numFmtId="0" fontId="23" fillId="7" borderId="2" pivotButton="0" quotePrefix="0" xfId="0"/>
    <xf numFmtId="0" fontId="15" fillId="12" borderId="2" pivotButton="0" quotePrefix="0" xfId="0"/>
    <xf numFmtId="0" fontId="23" fillId="12" borderId="2" pivotButton="0" quotePrefix="0" xfId="0"/>
    <xf numFmtId="0" fontId="15" fillId="13" borderId="2" pivotButton="0" quotePrefix="0" xfId="0"/>
    <xf numFmtId="0" fontId="23" fillId="13" borderId="2" pivotButton="0" quotePrefix="0" xfId="0"/>
    <xf numFmtId="0" fontId="15" fillId="11" borderId="2" applyAlignment="1" pivotButton="0" quotePrefix="0" xfId="0">
      <alignment vertical="top" wrapText="1"/>
    </xf>
    <xf numFmtId="0" fontId="15" fillId="7" borderId="2" applyAlignment="1" pivotButton="0" quotePrefix="0" xfId="0">
      <alignment vertical="top" wrapText="1"/>
    </xf>
    <xf numFmtId="0" fontId="15" fillId="13" borderId="2" applyAlignment="1" pivotButton="0" quotePrefix="0" xfId="0">
      <alignment vertical="top" wrapText="1"/>
    </xf>
    <xf numFmtId="0" fontId="15" fillId="12" borderId="2" applyAlignment="1" pivotButton="0" quotePrefix="0" xfId="0">
      <alignment vertical="top" wrapText="1"/>
    </xf>
    <xf numFmtId="0" fontId="23" fillId="0" borderId="2" applyAlignment="1" pivotButton="0" quotePrefix="0" xfId="0">
      <alignment vertical="top" wrapText="1"/>
    </xf>
    <xf numFmtId="0" fontId="25" fillId="0" borderId="1" pivotButton="0" quotePrefix="0" xfId="0"/>
    <xf numFmtId="0" fontId="0" fillId="14" borderId="6" applyAlignment="1" pivotButton="0" quotePrefix="0" xfId="0">
      <alignment vertical="top" wrapText="1"/>
    </xf>
    <xf numFmtId="0" fontId="0" fillId="9" borderId="6" applyAlignment="1" pivotButton="0" quotePrefix="0" xfId="0">
      <alignment vertical="top" wrapText="1"/>
    </xf>
    <xf numFmtId="0" fontId="26" fillId="0" borderId="0" pivotButton="0" quotePrefix="0" xfId="0"/>
    <xf numFmtId="0" fontId="27" fillId="0" borderId="6" pivotButton="0" quotePrefix="0" xfId="0"/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71" fontId="0" fillId="7" borderId="2" applyAlignment="1" pivotButton="0" quotePrefix="0" xfId="0">
      <alignment vertical="top" wrapText="1"/>
    </xf>
    <xf numFmtId="171" fontId="0" fillId="8" borderId="2" applyAlignment="1" pivotButton="0" quotePrefix="0" xfId="0">
      <alignment vertical="top" wrapText="1"/>
    </xf>
    <xf numFmtId="0" fontId="27" fillId="0" borderId="0" pivotButton="0" quotePrefix="0" xfId="0"/>
    <xf numFmtId="171" fontId="0" fillId="0" borderId="2" applyAlignment="1" pivotButton="0" quotePrefix="0" xfId="0">
      <alignment vertical="top" wrapText="1"/>
    </xf>
    <xf numFmtId="0" fontId="6" fillId="5" borderId="0" pivotButton="0" quotePrefix="0" xfId="0"/>
    <xf numFmtId="0" fontId="0" fillId="0" borderId="0" pivotButton="0" quotePrefix="0" xfId="0"/>
    <xf numFmtId="0" fontId="21" fillId="0" borderId="0" applyAlignment="1" pivotButton="0" quotePrefix="0" xfId="0">
      <alignment vertical="top" wrapText="1"/>
    </xf>
    <xf numFmtId="0" fontId="17" fillId="0" borderId="6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7" fillId="7" borderId="6" applyAlignment="1" pivotButton="0" quotePrefix="0" xfId="0">
      <alignment vertical="top" wrapText="1"/>
    </xf>
    <xf numFmtId="0" fontId="17" fillId="13" borderId="6" applyAlignment="1" pivotButton="0" quotePrefix="0" xfId="0">
      <alignment vertical="top" wrapText="1"/>
    </xf>
    <xf numFmtId="0" fontId="17" fillId="11" borderId="6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17" fillId="12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9" fillId="9" borderId="0" applyAlignment="1" pivotButton="0" quotePrefix="0" xfId="0">
      <alignment vertical="top" wrapText="1"/>
    </xf>
    <xf numFmtId="0" fontId="24" fillId="8" borderId="0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3" fillId="6" borderId="6" applyAlignment="1" pivotButton="0" quotePrefix="0" xfId="0">
      <alignment horizontal="center" vertical="center"/>
    </xf>
    <xf numFmtId="0" fontId="0" fillId="0" borderId="3" pivotButton="0" quotePrefix="0" xfId="0"/>
    <xf numFmtId="171" fontId="0" fillId="0" borderId="2" applyAlignment="1" pivotButton="0" quotePrefix="0" xfId="0">
      <alignment vertical="top" wrapText="1"/>
    </xf>
    <xf numFmtId="171" fontId="0" fillId="7" borderId="2" applyAlignment="1" pivotButton="0" quotePrefix="0" xfId="0">
      <alignment vertical="top" wrapText="1"/>
    </xf>
    <xf numFmtId="171" fontId="0" fillId="8" borderId="2" applyAlignment="1" pivotButton="0" quotePrefix="0" xfId="0">
      <alignment vertical="top" wrapText="1"/>
    </xf>
    <xf numFmtId="165" fontId="0" fillId="2" borderId="1" pivotButton="0" quotePrefix="0" xfId="0"/>
    <xf numFmtId="165" fontId="3" fillId="0" borderId="1" pivotButton="0" quotePrefix="0" xfId="0"/>
    <xf numFmtId="164" fontId="0" fillId="2" borderId="1" pivotButton="0" quotePrefix="0" xfId="0"/>
    <xf numFmtId="166" fontId="0" fillId="2" borderId="1" pivotButton="0" quotePrefix="0" xfId="0"/>
    <xf numFmtId="165" fontId="3" fillId="3" borderId="1" pivotButton="0" quotePrefix="0" xfId="0"/>
    <xf numFmtId="167" fontId="3" fillId="3" borderId="1" pivotButton="0" quotePrefix="0" xfId="0"/>
    <xf numFmtId="168" fontId="3" fillId="3" borderId="1" pivotButton="0" quotePrefix="0" xfId="0"/>
    <xf numFmtId="165" fontId="5" fillId="4" borderId="1" pivotButton="0" quotePrefix="0" xfId="0"/>
    <xf numFmtId="166" fontId="3" fillId="0" borderId="1" pivotButton="0" quotePrefix="0" xfId="0"/>
    <xf numFmtId="165" fontId="0" fillId="3" borderId="1" pivotButton="0" quotePrefix="0" xfId="0"/>
    <xf numFmtId="166" fontId="0" fillId="0" borderId="1" pivotButton="0" quotePrefix="0" xfId="0"/>
    <xf numFmtId="164" fontId="0" fillId="9" borderId="2" pivotButton="0" quotePrefix="0" xfId="0"/>
    <xf numFmtId="165" fontId="0" fillId="9" borderId="2" pivotButton="0" quotePrefix="0" xfId="0"/>
    <xf numFmtId="166" fontId="0" fillId="9" borderId="2" pivotButton="0" quotePrefix="0" xfId="0"/>
    <xf numFmtId="3" fontId="0" fillId="15" borderId="0" pivotButton="0" quotePrefix="0" xfId="0"/>
    <xf numFmtId="0" fontId="25" fillId="0" borderId="0" pivotButton="0" quotePrefix="0" xfId="0"/>
    <xf numFmtId="166" fontId="0" fillId="10" borderId="2" pivotButton="0" quotePrefix="0" xfId="0"/>
    <xf numFmtId="165" fontId="15" fillId="10" borderId="2" pivotButton="0" quotePrefix="0" xfId="0"/>
    <xf numFmtId="165" fontId="0" fillId="10" borderId="2" pivotButton="0" quotePrefix="0" xfId="0"/>
    <xf numFmtId="169" fontId="0" fillId="9" borderId="2" pivotButton="0" quotePrefix="0" xfId="0"/>
    <xf numFmtId="165" fontId="0" fillId="0" borderId="2" pivotButton="0" quotePrefix="0" xfId="0"/>
    <xf numFmtId="166" fontId="0" fillId="0" borderId="2" pivotButton="0" quotePrefix="0" xfId="0"/>
    <xf numFmtId="164" fontId="0" fillId="10" borderId="2" pivotButton="0" quotePrefix="0" xfId="0"/>
    <xf numFmtId="164" fontId="0" fillId="0" borderId="2" pivotButton="0" quotePrefix="0" xfId="0"/>
    <xf numFmtId="169" fontId="0" fillId="10" borderId="2" pivotButton="0" quotePrefix="0" xfId="0"/>
    <xf numFmtId="169" fontId="0" fillId="0" borderId="2" pivotButton="0" quotePrefix="0" xfId="0"/>
    <xf numFmtId="170" fontId="0" fillId="10" borderId="2" pivotButton="0" quotePrefix="0" xfId="0"/>
    <xf numFmtId="170" fontId="0" fillId="9" borderId="2" pivotButton="0" quotePrefix="0" xfId="0"/>
    <xf numFmtId="170" fontId="0" fillId="0" borderId="2" pivotButton="0" quotePrefix="0" xfId="0"/>
    <xf numFmtId="0" fontId="0" fillId="8" borderId="1" pivotButton="0" quotePrefix="0" xfId="0"/>
    <xf numFmtId="165" fontId="27" fillId="0" borderId="0" pivotButton="0" quotePrefix="0" xfId="0"/>
  </cellXfs>
  <cellStyles count="1">
    <cellStyle name="標準" xfId="0" builtinId="0"/>
  </cellStyles>
  <dxfs count="7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topLeftCell="A3" zoomScale="140" zoomScaleNormal="140" workbookViewId="0">
      <selection activeCell="A20" sqref="A20:E20"/>
    </sheetView>
  </sheetViews>
  <sheetFormatPr baseColWidth="10" defaultColWidth="8.83203125" defaultRowHeight="14"/>
  <cols>
    <col width="17" customWidth="1" style="93" min="1" max="1"/>
    <col width="30" customWidth="1" style="93" min="2" max="2"/>
    <col width="36" customWidth="1" style="93" min="3" max="3"/>
    <col width="27" customWidth="1" style="93" min="4" max="4"/>
    <col width="40" customWidth="1" style="93" min="5" max="5"/>
  </cols>
  <sheetData>
    <row r="1" ht="18" customHeight="1" s="93">
      <c r="A1" s="67" t="inlineStr">
        <is>
          <t>RINCLE 収益モデル — この資料の読み方ガイド</t>
        </is>
      </c>
    </row>
    <row r="3" ht="58" customHeight="1" s="93">
      <c r="A3" s="94" t="inlineStr">
        <is>
          <t>この資料は「RINCLE（スポーツバイクレンタル事業）は、もうかる仕組みになっているか？ どうすればもうかるようになるか？」に答えるためのExcelです。本番データベースと決済サービス（Pay.jp）の実物のデータだけを使って作られており、推測や印象ではなく事実で議論するための土台になります。マーケティングや会計の知識がなくても読めるように作ってあります（分からない言葉は一番下の用語辞典へ）。</t>
        </is>
      </c>
    </row>
    <row r="4" ht="28" customHeight="1" s="93">
      <c r="A4" s="101" t="inlineStr">
        <is>
          <t>このExcelが収益分析の「正本」（いちばん正しい元の資料）です。作成日: 2026-06-11 / 最終更新: 2026-06-12（6/12定例の判明事項を反映） / 数字の根拠はすべて「出典と経緯」シートに記録されています。</t>
        </is>
      </c>
    </row>
    <row r="6" ht="15" customHeight="1" s="93">
      <c r="A6" s="23" t="inlineStr">
        <is>
          <t>■ 全体の構成 — 12シートは4つのグループでできている</t>
        </is>
      </c>
    </row>
    <row r="7" ht="40" customHeight="1" s="93">
      <c r="A7" s="94" t="inlineStr">
        <is>
          <t>資料全体は「①現状を知る → ②計算する → ③目標を立てて追いかける」という流れで並んでいて、それを「④裏付け」グループが支えています。初めて読む人は上から順に。毎月の運用では「KPI進捗」だけ触れば回ります。</t>
        </is>
      </c>
    </row>
    <row r="8">
      <c r="A8" s="68" t="inlineStr">
        <is>
          <t>① 現状を知る</t>
        </is>
      </c>
      <c r="B8" s="69" t="inlineStr">
        <is>
          <t>実態サマリー / 収益の論点 / 需給分析</t>
        </is>
      </c>
      <c r="C8" s="100" t="inlineStr">
        <is>
          <t>いま何が起きているか・何が問題か</t>
        </is>
      </c>
      <c r="D8" s="96" t="n"/>
      <c r="E8" s="97" t="n"/>
    </row>
    <row r="9">
      <c r="A9" s="70" t="inlineStr">
        <is>
          <t>② 計算する</t>
        </is>
      </c>
      <c r="B9" s="71" t="inlineStr">
        <is>
          <t>コスト棚卸し / 試算モデル</t>
        </is>
      </c>
      <c r="C9" s="98" t="inlineStr">
        <is>
          <t>いくらかかって、何件でトントンか</t>
        </is>
      </c>
      <c r="D9" s="96" t="n"/>
      <c r="E9" s="97" t="n"/>
    </row>
    <row r="10">
      <c r="A10" s="72" t="inlineStr">
        <is>
          <t>③ 目標を立てて追う</t>
        </is>
      </c>
      <c r="B10" s="73" t="inlineStr">
        <is>
          <t>KPIツリー / KPI計画 / KPI進捗</t>
        </is>
      </c>
      <c r="C10" s="102" t="inlineStr">
        <is>
          <t>どこを直すと伸びるか・目標と実績の管理</t>
        </is>
      </c>
      <c r="D10" s="96" t="n"/>
      <c r="E10" s="97" t="n"/>
    </row>
    <row r="11">
      <c r="A11" s="74" t="inlineStr">
        <is>
          <t>④ 裏付け</t>
        </is>
      </c>
      <c r="B11" s="75" t="inlineStr">
        <is>
          <t>月別実績 / 確認リスト / 出典と経緯</t>
        </is>
      </c>
      <c r="C11" s="99" t="inlineStr">
        <is>
          <t>生の記録・聞くべきこと・数字の出どころ</t>
        </is>
      </c>
      <c r="D11" s="96" t="n"/>
      <c r="E11" s="97" t="n"/>
    </row>
    <row r="13" ht="15" customHeight="1" s="93">
      <c r="A13" s="23" t="inlineStr">
        <is>
          <t>■ マスの色のルール（全シート共通）</t>
        </is>
      </c>
    </row>
    <row r="14">
      <c r="A14" s="24" t="inlineStr">
        <is>
          <t>黄色のマス</t>
        </is>
      </c>
      <c r="B14" s="95" t="inlineStr">
        <is>
          <t>自由に書き換えてOK。「前提」や「記入欄」。ここを変えると関係する計算が全部自動で変わる</t>
        </is>
      </c>
      <c r="C14" s="96" t="n"/>
      <c r="D14" s="96" t="n"/>
      <c r="E14" s="97" t="n"/>
    </row>
    <row r="15">
      <c r="A15" s="26" t="inlineStr">
        <is>
          <t>青色のマス</t>
        </is>
      </c>
      <c r="B15" s="95" t="inlineStr">
        <is>
          <t>自動計算。数式が入っているので触らない（壊しても直せるので焦らなくて大丈夫）</t>
        </is>
      </c>
      <c r="C15" s="96" t="n"/>
      <c r="D15" s="96" t="n"/>
      <c r="E15" s="97" t="n"/>
    </row>
    <row r="16">
      <c r="A16" s="27" t="inlineStr">
        <is>
          <t>ピンクのマス</t>
        </is>
      </c>
      <c r="B16" s="95" t="inlineStr">
        <is>
          <t>「まだ確認できていない・仮置き・要注意」の印。本当のことが分かったら更新する</t>
        </is>
      </c>
      <c r="C16" s="96" t="n"/>
      <c r="D16" s="96" t="n"/>
      <c r="E16" s="97" t="n"/>
    </row>
    <row r="18" ht="15" customHeight="1" s="93">
      <c r="A18" s="23" t="inlineStr">
        <is>
          <t>■ 各シートの説明（目的・何を管理・いつ使う・見方）</t>
        </is>
      </c>
    </row>
    <row r="19">
      <c r="A19" s="28" t="inlineStr">
        <is>
          <t>シート</t>
        </is>
      </c>
      <c r="B19" s="28" t="inlineStr">
        <is>
          <t>目的（なぜあるか）</t>
        </is>
      </c>
      <c r="C19" s="28" t="inlineStr">
        <is>
          <t>何を管理しているか</t>
        </is>
      </c>
      <c r="D19" s="28" t="inlineStr">
        <is>
          <t>いつ使う・いつ更新する</t>
        </is>
      </c>
      <c r="E19" s="28" t="inlineStr">
        <is>
          <t>見方のポイント</t>
        </is>
      </c>
    </row>
    <row r="20" ht="64" customHeight="1" s="93">
      <c r="A20" s="76" t="inlineStr">
        <is>
          <t>実態サマリー</t>
        </is>
      </c>
      <c r="B20" s="37" t="inlineStr">
        <is>
          <t>「RINCLEは今どうなってる？」に1枚で答える。会議の出発点</t>
        </is>
      </c>
      <c r="C20" s="37" t="inlineStr">
        <is>
          <t>データで確定した事実: 手数料15%・店舗54・利用者91人・実予約70件・実入金¥8,690。それとシステムのデータ異常（バグ）4件</t>
        </is>
      </c>
      <c r="D20" s="37" t="inlineStr">
        <is>
          <t>会議の冒頭での現状共有。新しい関係者への説明。大きな事実が変わったら更新</t>
        </is>
      </c>
      <c r="E20" s="37" t="inlineStr">
        <is>
          <t>最重要は実入金。Pay.jp分は¥8,690で、店頭決済分は紙請求でシステム外回収（6/12判明）。紙でも15%で請求していたと思われ、突合は不要と判断（6/12）</t>
        </is>
      </c>
    </row>
    <row r="21" ht="64" customHeight="1" s="93">
      <c r="A21" s="76" t="inlineStr">
        <is>
          <t>収益の論点</t>
        </is>
      </c>
      <c r="B21" s="37" t="inlineStr">
        <is>
          <t>「なぜもうかっていないか」と「どう直すか」の選択肢を示す。意思決定のための材料</t>
        </is>
      </c>
      <c r="C21" s="37" t="inlineStr">
        <is>
          <t>問題4つ（論点①〜④）とそれぞれの打ち手。最大の論点①=店頭決済の手数料は紙請求で回収済みと判明（6/12）、課題は未回収から「見える化」へ</t>
        </is>
      </c>
      <c r="D21" s="37" t="inlineStr">
        <is>
          <t>クライアントとの定例で「回収をどうするか」を決めるとき</t>
        </is>
      </c>
      <c r="E21" s="37" t="inlineStr">
        <is>
          <t>打ち手は3案併記してある。どれを選ぶかはクライアントの経営判断（こちらは選択肢と根拠を出す役）</t>
        </is>
      </c>
    </row>
    <row r="22" ht="64" customHeight="1" s="93">
      <c r="A22" s="77" t="inlineStr">
        <is>
          <t>コスト棚卸し</t>
        </is>
      </c>
      <c r="B22" s="37" t="inlineStr">
        <is>
          <t>毎月出ていくお金を確定させる。「何件でトントンか」の分母になる</t>
        </is>
      </c>
      <c r="C22" s="37" t="inlineStr">
        <is>
          <t>固定費の内訳リスト（サーバー代・人件費など）。確定/仮置き/要確認の状態つき</t>
        </is>
      </c>
      <c r="D22" s="37" t="inlineStr">
        <is>
          <t>クライアントから固定費の回答が来たら黄色マスに実数を記入。新しい固定費（広告など）が発生したら行を足す</t>
        </is>
      </c>
      <c r="E22" s="37" t="inlineStr">
        <is>
          <t>合計は2段: 運営固定費（約¥18,300・試算モデルに連動）と、開発委託費込みの全体支出（約¥102万）。委託費は投資扱いで損益分岐の分母には入れない</t>
        </is>
      </c>
    </row>
    <row r="23" ht="64" customHeight="1" s="93">
      <c r="A23" s="77" t="inlineStr">
        <is>
          <t>試算モデル</t>
        </is>
      </c>
      <c r="B23" s="37" t="inlineStr">
        <is>
          <t>「もしも」を計算する電卓。会議中の質問にその場で答えるための道具</t>
        </is>
      </c>
      <c r="C23" s="37" t="inlineStr">
        <is>
          <t>前提5つ（手数料率/単価/件数/徴収率/固定費）と、月間損益・損益分岐の計算。下に件数×固定費の早見表</t>
        </is>
      </c>
      <c r="D23" s="37" t="inlineStr">
        <is>
          <t>会議で「予約が100件になったら？」「人件費を増やしたら？」と聞かれたとき、黄色マスを変えて見せる</t>
        </is>
      </c>
      <c r="E23" s="37" t="inlineStr">
        <is>
          <t>いくら数字をいじっても記録（月別実績）は壊れない。安心して遊んでいい</t>
        </is>
      </c>
    </row>
    <row r="24" ht="64" customHeight="1" s="93">
      <c r="A24" s="78" t="inlineStr">
        <is>
          <t>月別実績</t>
        </is>
      </c>
      <c r="B24" s="37" t="inlineStr">
        <is>
          <t>過去の事実の記録。トレンド（伸びてるか）を見る</t>
        </is>
      </c>
      <c r="C24" s="37" t="inlineStr">
        <is>
          <t>月ごとの完了予約数と手数料収入の実額（2025-10〜）</t>
        </is>
      </c>
      <c r="D24" s="37" t="inlineStr">
        <is>
          <t>月1回、月初にDBエクスポートを見て前月の行を追記。過去の行は書き換えない</t>
        </is>
      </c>
      <c r="E24" s="37" t="inlineStr">
        <is>
          <t>2月以降「約2ヶ月で倍」のペースが本物かをここで確認し続ける</t>
        </is>
      </c>
    </row>
    <row r="25" ht="64" customHeight="1" s="93">
      <c r="A25" s="79" t="inlineStr">
        <is>
          <t>KPIツリー</t>
        </is>
      </c>
      <c r="B25" s="37" t="inlineStr">
        <is>
          <t>「どこを直せば収益が増えるか」の地図。施策の優先順位はここで決める</t>
        </is>
      </c>
      <c r="C25" s="37" t="inlineStr">
        <is>
          <t>収益を掛け算に分解した構造（収益=セッション×CVR×単価×手数料率×回収率）と、各部品の現在値・担当施策</t>
        </is>
      </c>
      <c r="D25" s="37" t="inlineStr">
        <is>
          <t>新しい施策を思いついたとき（必ず「どの部品を動かす施策か」を1つ指定するルール）。KPIが赤になったとき原因を探しに来る</t>
        </is>
      </c>
      <c r="E25" s="37" t="inlineStr">
        <is>
          <t>★印が2大ボトルネック: 入金の見える化（紙請求の突合・カード1本化）と流入700IP/月。逆にCVR4%と手数料15%は健全なので触らない</t>
        </is>
      </c>
    </row>
    <row r="26" ht="64" customHeight="1" s="93">
      <c r="A26" s="79" t="inlineStr">
        <is>
          <t>KPI計画</t>
        </is>
      </c>
      <c r="B26" s="37" t="inlineStr">
        <is>
          <t>目標数字の設計図。クライアントと「いくらを目指すか」を握るための叩き台</t>
        </is>
      </c>
      <c r="C26" s="37" t="inlineStr">
        <is>
          <t>前提（成長率+20%/月など）と7〜12月の月次目標の試算。※目標設定は凍結中（2026-06-12方針）— ユーザー増・差別化実装・UX改善後に再開</t>
        </is>
      </c>
      <c r="D26" s="37" t="inlineStr">
        <is>
          <t>クライアントとの目標交渉のとき。前提の黄色マスを変えると計画全体が自動で引き直される</t>
        </is>
      </c>
      <c r="E26" s="37" t="inlineStr">
        <is>
          <t>ピンクの注記2つは必読: ①目標が確定したら進捗シートに焼き付ける手順 ②確認#1の回答（6/12）を受けたKGI定義の変更メモ</t>
        </is>
      </c>
    </row>
    <row r="27" ht="64" customHeight="1" s="93">
      <c r="A27" s="79" t="inlineStr">
        <is>
          <t>KPI進捗</t>
        </is>
      </c>
      <c r="B27" s="37" t="inlineStr">
        <is>
          <t>計画と現実のズレを毎月検知する。このExcelの運用の本体</t>
        </is>
      </c>
      <c r="C27" s="37" t="inlineStr">
        <is>
          <t>KGI+KPI6つの月次の目標・実績・達成率。下にKGIの選定理由とKGI→KSF→KPIの対応表（なぜこの6個を測るのか）</t>
        </is>
      </c>
      <c r="D27" s="37" t="inlineStr">
        <is>
          <t>月1回、実績だけ記入（15分）。前月比のトレンドを見る。達成率の色分けは目標設定の再開後から</t>
        </is>
      </c>
      <c r="E27" s="37" t="inlineStr">
        <is>
          <t>赤が続くKPIが出たら「KPIツリー」シートに戻って原因の部品と施策を特定する、という往復で使う</t>
        </is>
      </c>
    </row>
    <row r="28" ht="64" customHeight="1" s="93">
      <c r="A28" s="76" t="inlineStr">
        <is>
          <t>需給分析</t>
        </is>
      </c>
      <c r="B28" s="37" t="inlineStr">
        <is>
          <t>「店は足りてるのにお客が来ていない」という戦略判断の根拠</t>
        </is>
      </c>
      <c r="C28" s="37" t="inlineStr">
        <is>
          <t>供給側（店舗54・自転車369台・全店カード決済可）と需要側（利用者91人・月700IP）のバランス、予約の関西偏在</t>
        </is>
      </c>
      <c r="D28" s="37" t="inlineStr">
        <is>
          <t>集客施策の地域優先順位を決めるとき。ヒアリング対象店舗の選定（実施済み）</t>
        </is>
      </c>
      <c r="E28" s="37" t="inlineStr">
        <is>
          <t>象徴的な1行=「しまなみ海道の玄関口・尾道で22台が予約ゼロ」。需要づくりが全ての鍵</t>
        </is>
      </c>
    </row>
    <row r="29" ht="64" customHeight="1" s="93">
      <c r="A29" s="78" t="inlineStr">
        <is>
          <t>確認リスト</t>
        </is>
      </c>
      <c r="B29" s="37" t="inlineStr">
        <is>
          <t>データでは分からないことを、クライアントに聞いて埋める管理表</t>
        </is>
      </c>
      <c r="C29" s="37" t="inlineStr">
        <is>
          <t>質問7つと回答記入欄（黄色）。6/12定例で#1〜4・#6は回答済み。残りは#5（リピート率）と#7（店舗数の対外表記）</t>
        </is>
      </c>
      <c r="D29" s="37" t="inlineStr">
        <is>
          <t>クライアント定例の前に見る。回答が来たら黄色に記入し、関係するシート（コスト棚卸し・KPI計画など）へ反映</t>
        </is>
      </c>
      <c r="E29" s="37" t="inlineStr">
        <is>
          <t>#1は回答済み（紙請求で回収済み）。これを受けたKGI定義の変更はKPI計画シートの注記参照</t>
        </is>
      </c>
    </row>
    <row r="30" ht="64" customHeight="1" s="93">
      <c r="A30" s="78" t="inlineStr">
        <is>
          <t>出典と経緯</t>
        </is>
      </c>
      <c r="B30" s="37" t="inlineStr">
        <is>
          <t>「この数字どこから？」に全部答える。資料の信頼性の担保</t>
        </is>
      </c>
      <c r="C30" s="37" t="inlineStr">
        <is>
          <t>データソース一覧・検証の訂正履歴（途中の誤分析も隠さず記録）・主要数値15個の出典対応表・今後の調査余地</t>
        </is>
      </c>
      <c r="D30" s="37" t="inlineStr">
        <is>
          <t>数字の根拠を聞かれたとき。半年後に見返して「なぜこうしたんだっけ」を思い出すとき</t>
        </is>
      </c>
      <c r="E30" s="37" t="inlineStr">
        <is>
          <t>訂正履歴は失敗も含めて残してある — 「一度疑って検証済み」という意味で、数字の信頼性はむしろ高い</t>
        </is>
      </c>
    </row>
    <row r="32" ht="15" customHeight="1" s="93">
      <c r="A32" s="23" t="inlineStr">
        <is>
          <t>■ 毎月の運用（月初に15分）</t>
        </is>
      </c>
    </row>
    <row r="33">
      <c r="A33" s="94" t="inlineStr">
        <is>
          <t>1. BubbleのDataタブから予約・ユーザーをCSVエクスポートし、source/ フォルダに保存（このフォルダはGitHubに上がらない設定済み）</t>
        </is>
      </c>
    </row>
    <row r="34">
      <c r="A34" s="94" t="inlineStr">
        <is>
          <t>2. Pay.jp管理画面の「入金一覧」をスクショして source/payjp/ へ</t>
        </is>
      </c>
    </row>
    <row r="35">
      <c r="A35" s="94" t="inlineStr">
        <is>
          <t>3. 「月別実績」に前月の行を追記（完了予約数・手数料収入）</t>
        </is>
      </c>
    </row>
    <row r="36">
      <c r="A36" s="94" t="inlineStr">
        <is>
          <t>4. 「KPI進捗」に前月の実績を記入 → 達成率の色を見る</t>
        </is>
      </c>
    </row>
    <row r="37">
      <c r="A37" s="94" t="inlineStr">
        <is>
          <t>5. 赤いKPIがあれば「KPIツリー」で原因の部品を特定 → 対応する施策を打つ（これが月次レビュー）</t>
        </is>
      </c>
    </row>
    <row r="39" ht="15" customHeight="1" s="93">
      <c r="A39" s="23" t="inlineStr">
        <is>
          <t>■ イベントが起きたらやること</t>
        </is>
      </c>
    </row>
    <row r="40" ht="30" customHeight="1" s="93">
      <c r="A40" s="80" t="inlineStr">
        <is>
          <t>クライアントから回答が来た</t>
        </is>
      </c>
      <c r="B40" s="95" t="inlineStr">
        <is>
          <t>「確認リスト」の黄色に記入 → 関係するシートへ反映（例: リピート率#5→出典と経緯の調査余地、店舗数表記#7→実態サマリー）</t>
        </is>
      </c>
      <c r="C40" s="96" t="n"/>
      <c r="D40" s="96" t="n"/>
      <c r="E40" s="97" t="n"/>
    </row>
    <row r="41" ht="30" customHeight="1" s="93">
      <c r="A41" s="80" t="inlineStr">
        <is>
          <t>KGI目標をクライアントと握れた</t>
        </is>
      </c>
      <c r="B41" s="95" t="inlineStr">
        <is>
          <t>「KPI進捗」の目標列を値貼り付けで固定（KPI計画シートのピンク注記に手順あり）</t>
        </is>
      </c>
      <c r="C41" s="96" t="n"/>
      <c r="D41" s="96" t="n"/>
      <c r="E41" s="97" t="n"/>
    </row>
    <row r="42" ht="30" customHeight="1" s="93">
      <c r="A42" s="80" t="inlineStr">
        <is>
          <t>GA4を設置した</t>
        </is>
      </c>
      <c r="B42" s="95" t="inlineStr">
        <is>
          <t>「KPI進捗」のKPI3をユニークIP→GA4ユーザー数に切替、KPI4（Organic）の計測を開始</t>
        </is>
      </c>
      <c r="C42" s="96" t="n"/>
      <c r="D42" s="96" t="n"/>
      <c r="E42" s="97" t="n"/>
    </row>
    <row r="44" ht="15" customHeight="1" s="93">
      <c r="A44" s="23" t="inlineStr">
        <is>
          <t>■ 用語ミニ辞典</t>
        </is>
      </c>
    </row>
    <row r="45">
      <c r="A45" s="29" t="inlineStr">
        <is>
          <t>KGI</t>
        </is>
      </c>
      <c r="B45" s="95" t="inlineStr">
        <is>
          <t>最終目標の数字（Key Goal Indicator）。この資料では「月間の実入金」。※目標額の設定は凍結中 — KPI計画シートに試算（12月¥120,000）だけ残してある</t>
        </is>
      </c>
      <c r="C45" s="96" t="n"/>
      <c r="D45" s="96" t="n"/>
      <c r="E45" s="97" t="n"/>
    </row>
    <row r="46">
      <c r="A46" s="29" t="inlineStr">
        <is>
          <t>KPI</t>
        </is>
      </c>
      <c r="B46" s="95" t="inlineStr">
        <is>
          <t>KGIに向かう途中経過を測る数字（Key Performance Indicator）。この資料では6個（完了予約数・回収率・セッション・Organic流入・CVR・稼働店舗数）</t>
        </is>
      </c>
      <c r="C46" s="96" t="n"/>
      <c r="D46" s="96" t="n"/>
      <c r="E46" s="97" t="n"/>
    </row>
    <row r="47">
      <c r="A47" s="29" t="inlineStr">
        <is>
          <t>KSF</t>
        </is>
      </c>
      <c r="B47" s="95" t="inlineStr">
        <is>
          <t>成功のカギになる要因を言葉で言ったもの（Key Success Factor）。「回収の仕組みを作る」「流入を作る」など4つ。KPIはKSFを数字にしたもの</t>
        </is>
      </c>
      <c r="C47" s="96" t="n"/>
      <c r="D47" s="96" t="n"/>
      <c r="E47" s="97" t="n"/>
    </row>
    <row r="48">
      <c r="A48" s="29" t="inlineStr">
        <is>
          <t>手数料率</t>
        </is>
      </c>
      <c r="B48" s="95" t="inlineStr">
        <is>
          <t>予約料金のうちRINCLEがもらう割合（15%）。1万円の予約でRINCLEに1,500円</t>
        </is>
      </c>
      <c r="C48" s="96" t="n"/>
      <c r="D48" s="96" t="n"/>
      <c r="E48" s="97" t="n"/>
    </row>
    <row r="49">
      <c r="A49" s="29" t="inlineStr">
        <is>
          <t>GMV</t>
        </is>
      </c>
      <c r="B49" s="95" t="inlineStr">
        <is>
          <t>お客さんが払ったお金の合計（流通総額）。RINCLEの売上ではない。RINCLEの取り分はGMV×15%</t>
        </is>
      </c>
      <c r="C49" s="96" t="n"/>
      <c r="D49" s="96" t="n"/>
      <c r="E49" s="97" t="n"/>
    </row>
    <row r="50">
      <c r="A50" s="29" t="inlineStr">
        <is>
          <t>回収率</t>
        </is>
      </c>
      <c r="B50" s="95" t="inlineStr">
        <is>
          <t>もらえるはずの手数料のうち、Pay.jp+銀行振込で捕捉できた割合。店頭決済分は紙請求でシステム外回収のため、Pay.jpだけ見ると4%に見えるが実態は回収済み（6/12判明）。カード1本化で100%捕捉を目指す</t>
        </is>
      </c>
      <c r="C50" s="96" t="n"/>
      <c r="D50" s="96" t="n"/>
      <c r="E50" s="97" t="n"/>
    </row>
    <row r="51">
      <c r="A51" s="29" t="inlineStr">
        <is>
          <t>セッション</t>
        </is>
      </c>
      <c r="B51" s="95" t="inlineStr">
        <is>
          <t>サイトに来た訪問の数。今はアクセスログのユニークIP（≒来た人の数）で代用。GA4導入後は正確になる</t>
        </is>
      </c>
      <c r="C51" s="96" t="n"/>
      <c r="D51" s="96" t="n"/>
      <c r="E51" s="97" t="n"/>
    </row>
    <row r="52">
      <c r="A52" s="29" t="inlineStr">
        <is>
          <t>CVR</t>
        </is>
      </c>
      <c r="B52" s="95" t="inlineStr">
        <is>
          <t>来た人のうち予約まで至った割合（Conversion Rate）。RINCLEは約4%で健全。これが低いなら「サイトが悪い」、流入が少ないなら「集客が足りない」と切り分けられる</t>
        </is>
      </c>
      <c r="C52" s="96" t="n"/>
      <c r="D52" s="96" t="n"/>
      <c r="E52" s="97" t="n"/>
    </row>
    <row r="53">
      <c r="A53" s="29" t="inlineStr">
        <is>
          <t>固定費</t>
        </is>
      </c>
      <c r="B53" s="95" t="inlineStr">
        <is>
          <t>予約が0件でも毎月出ていくお金（サーバー代・人件費など）</t>
        </is>
      </c>
      <c r="C53" s="96" t="n"/>
      <c r="D53" s="96" t="n"/>
      <c r="E53" s="97" t="n"/>
    </row>
    <row r="54">
      <c r="A54" s="29" t="inlineStr">
        <is>
          <t>損益分岐</t>
        </is>
      </c>
      <c r="B54" s="95" t="inlineStr">
        <is>
          <t>入るお金と出るお金がトントンになるライン。「月◯件の予約があれば赤字じゃない」の◯件</t>
        </is>
      </c>
      <c r="C54" s="96" t="n"/>
      <c r="D54" s="96" t="n"/>
      <c r="E54" s="97" t="n"/>
    </row>
    <row r="55">
      <c r="A55" s="29" t="inlineStr">
        <is>
          <t>ユニットエコノミクス</t>
        </is>
      </c>
      <c r="B55" s="95" t="inlineStr">
        <is>
          <t>「予約1件あたりで見て、もうかる構造か？」を確かめる考え方。試算モデルシートがそれ</t>
        </is>
      </c>
      <c r="C55" s="96" t="n"/>
      <c r="D55" s="96" t="n"/>
      <c r="E55" s="97" t="n"/>
    </row>
    <row r="57" ht="28" customHeight="1" s="93">
      <c r="A57" s="101" t="inlineStr">
        <is>
          <t>迷ったら: 数字の意味が分からない→用語辞典 / 数字の出どころが知りたい→出典と経緯シート / 戦略の背景の読み物→ 01_strategy フォルダの各md（競合分析・課題と対策など）</t>
        </is>
      </c>
    </row>
  </sheetData>
  <mergeCells count="30">
    <mergeCell ref="A34:E34"/>
    <mergeCell ref="B40:E40"/>
    <mergeCell ref="B49:E49"/>
    <mergeCell ref="C9:E9"/>
    <mergeCell ref="B15:E15"/>
    <mergeCell ref="B55:E55"/>
    <mergeCell ref="A36:E36"/>
    <mergeCell ref="B51:E51"/>
    <mergeCell ref="B45:E45"/>
    <mergeCell ref="B41:E41"/>
    <mergeCell ref="C11:E11"/>
    <mergeCell ref="B50:E50"/>
    <mergeCell ref="A7:E7"/>
    <mergeCell ref="C8:E8"/>
    <mergeCell ref="B16:E16"/>
    <mergeCell ref="B54:E54"/>
    <mergeCell ref="A37:E37"/>
    <mergeCell ref="B47:E47"/>
    <mergeCell ref="B46:E46"/>
    <mergeCell ref="A3:E3"/>
    <mergeCell ref="A57:E57"/>
    <mergeCell ref="B52:E52"/>
    <mergeCell ref="A33:E33"/>
    <mergeCell ref="B48:E48"/>
    <mergeCell ref="B42:E42"/>
    <mergeCell ref="B14:E14"/>
    <mergeCell ref="A35:E35"/>
    <mergeCell ref="A4:E4"/>
    <mergeCell ref="B53:E53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zoomScale="140" zoomScaleNormal="140" workbookViewId="0">
      <selection activeCell="A1" sqref="A1"/>
    </sheetView>
  </sheetViews>
  <sheetFormatPr baseColWidth="10" defaultColWidth="8.83203125" defaultRowHeight="14"/>
  <cols>
    <col width="30" customWidth="1" style="93" min="1" max="1"/>
    <col width="26" customWidth="1" style="93" min="2" max="2"/>
    <col width="60" customWidth="1" style="93" min="3" max="3"/>
  </cols>
  <sheetData>
    <row r="1" ht="16" customHeight="1" s="93">
      <c r="A1" s="31" t="inlineStr">
        <is>
          <t>RINCLE の実態サマリー（データ検証済みの事実）</t>
        </is>
      </c>
    </row>
    <row r="2">
      <c r="A2" s="30" t="inlineStr">
        <is>
          <t>分析日: 2026-06-11（本番データ）。出典・検証経緯は「出典と経緯」シート参照</t>
        </is>
      </c>
    </row>
    <row r="4">
      <c r="A4" s="32" t="inlineStr">
        <is>
          <t>■ 前提となる事実</t>
        </is>
      </c>
    </row>
    <row r="5">
      <c r="A5" s="28" t="inlineStr">
        <is>
          <t>項目</t>
        </is>
      </c>
      <c r="B5" s="28" t="inlineStr">
        <is>
          <t>値</t>
        </is>
      </c>
      <c r="C5" s="28" t="inlineStr">
        <is>
          <t>出所・備考</t>
        </is>
      </c>
    </row>
    <row r="6" ht="30" customHeight="1" s="93">
      <c r="A6" s="25" t="inlineStr">
        <is>
          <t>プラットフォーム手数料</t>
        </is>
      </c>
      <c r="B6" s="25" t="inlineStr">
        <is>
          <t>15%（2026-04末〜05に10%から切替）</t>
        </is>
      </c>
      <c r="C6" s="25" t="inlineStr">
        <is>
          <t>5月の完了予約21件すべて合計金額×15%と一致を確認</t>
        </is>
      </c>
    </row>
    <row r="7" ht="15" customHeight="1" s="93">
      <c r="A7" s="25" t="inlineStr">
        <is>
          <t>カード手数料 3.3%</t>
        </is>
      </c>
      <c r="B7" s="25" t="inlineStr">
        <is>
          <t>店舗負担</t>
        </is>
      </c>
      <c r="C7" s="25" t="inlineStr">
        <is>
          <t>決済フローAs-Is。PAY.JP公表のスタンダード料率（2026年6月時点）。契約上の実料率はPAY.JP管理画面で要確認</t>
        </is>
      </c>
    </row>
    <row r="8" ht="15" customHeight="1" s="93">
      <c r="A8" s="25" t="inlineStr">
        <is>
          <t>店舗側の合計負担率</t>
        </is>
      </c>
      <c r="B8" s="25" t="inlineStr">
        <is>
          <t>18.3%</t>
        </is>
      </c>
      <c r="C8" s="25" t="inlineStr">
        <is>
          <t>OTA相場（10〜20%・決済込み）の上限相当。追加値上げの余地は実質なし</t>
        </is>
      </c>
    </row>
    <row r="9" ht="15" customHeight="1" s="93">
      <c r="A9" s="25" t="inlineStr">
        <is>
          <t>登録店舗数</t>
        </is>
      </c>
      <c r="B9" s="25" t="inlineStr">
        <is>
          <t>54店舗</t>
        </is>
      </c>
      <c r="C9" s="25" t="inlineStr">
        <is>
          <t>DBで確定。「100」は営業ベースの見込みと判明（6/12・確認#6）</t>
        </is>
      </c>
    </row>
    <row r="10" ht="15" customHeight="1" s="93">
      <c r="A10" s="25" t="inlineStr">
        <is>
          <t>登録利用者数</t>
        </is>
      </c>
      <c r="B10" s="25" t="inlineStr">
        <is>
          <t>91人（カード登録済み88人）</t>
        </is>
      </c>
      <c r="C10" s="25" t="inlineStr">
        <is>
          <t>users.csv</t>
        </is>
      </c>
    </row>
    <row r="11" ht="30" customHeight="1" s="93">
      <c r="A11" s="25" t="inlineStr">
        <is>
          <t>実予約（累計）</t>
        </is>
      </c>
      <c r="B11" s="25" t="inlineStr">
        <is>
          <t>70件（完了49・キャンセル16・来客待ち5）</t>
        </is>
      </c>
      <c r="C11" s="25" t="inlineStr">
        <is>
          <t>残り51レコードは「仮情報」=未確定ドラフト</t>
        </is>
      </c>
    </row>
    <row r="12" ht="15" customHeight="1" s="93">
      <c r="A12" s="25" t="inlineStr">
        <is>
          <t>RINCLEの実入金（全期間）</t>
        </is>
      </c>
      <c r="B12" s="25" t="inlineStr">
        <is>
          <t>¥8,690（+次回入金予定¥6,940）</t>
        </is>
      </c>
      <c r="C12" s="25" t="inlineStr">
        <is>
          <t>Pay.jp本番スクショで確定（売上一覧は全10件のみ）。※6/12判明: これはクレカ分のみで、店頭決済分は紙請求で別途回収済み（15%で請求していたと思われる・突合は不要と判断）</t>
        </is>
      </c>
    </row>
    <row r="14">
      <c r="A14" s="32" t="inlineStr">
        <is>
          <t>■ 予約レコード121件の内訳</t>
        </is>
      </c>
    </row>
    <row r="15">
      <c r="A15" s="28" t="inlineStr">
        <is>
          <t>ステータス</t>
        </is>
      </c>
      <c r="B15" s="28" t="inlineStr">
        <is>
          <t>件数</t>
        </is>
      </c>
      <c r="C15" s="28" t="inlineStr">
        <is>
          <t>手数料</t>
        </is>
      </c>
    </row>
    <row r="16" ht="15" customHeight="1" s="93">
      <c r="A16" s="25" t="inlineStr">
        <is>
          <t>返却済み（完了）</t>
        </is>
      </c>
      <c r="B16" s="25" t="n">
        <v>49</v>
      </c>
      <c r="C16" s="25" t="inlineStr">
        <is>
          <t>全件記録あり（記録漏れゼロ）</t>
        </is>
      </c>
    </row>
    <row r="17" ht="15" customHeight="1" s="93">
      <c r="A17" s="25" t="inlineStr">
        <is>
          <t>キャンセル</t>
        </is>
      </c>
      <c r="B17" s="25" t="n">
        <v>16</v>
      </c>
      <c r="C17" s="25" t="inlineStr">
        <is>
          <t>なし（課金前キャンセルのため正常）</t>
        </is>
      </c>
    </row>
    <row r="18" ht="15" customHeight="1" s="93">
      <c r="A18" s="25" t="inlineStr">
        <is>
          <t>来客待ち（未来の予約）</t>
        </is>
      </c>
      <c r="B18" s="25" t="n">
        <v>5</v>
      </c>
      <c r="C18" s="25" t="inlineStr">
        <is>
          <t>なし（ライド開始時課金のため正常）</t>
        </is>
      </c>
    </row>
    <row r="19" ht="15" customHeight="1" s="93">
      <c r="A19" s="25" t="inlineStr">
        <is>
          <t>仮情報（未確定ドラフト）</t>
        </is>
      </c>
      <c r="B19" s="25" t="n">
        <v>51</v>
      </c>
      <c r="C19" s="25" t="inlineStr">
        <is>
          <t>なし（予約番号も未採番）</t>
        </is>
      </c>
    </row>
    <row r="21">
      <c r="A21" s="32" t="inlineStr">
        <is>
          <t>■ 注目すべき率</t>
        </is>
      </c>
    </row>
    <row r="22">
      <c r="A22" s="28" t="inlineStr">
        <is>
          <t>指標</t>
        </is>
      </c>
      <c r="B22" s="28" t="inlineStr">
        <is>
          <t>値</t>
        </is>
      </c>
      <c r="C22" s="28" t="inlineStr">
        <is>
          <t>含意</t>
        </is>
      </c>
    </row>
    <row r="23" ht="15" customHeight="1" s="93">
      <c r="A23" s="25" t="inlineStr">
        <is>
          <t>キャンセル率</t>
        </is>
      </c>
      <c r="B23" s="25" t="inlineStr">
        <is>
          <t>16/70 = 23%</t>
        </is>
      </c>
      <c r="C23" s="25" t="inlineStr">
        <is>
          <t>高い。理由は天候+日程変更が大半（6/12回答）。雨以外は課金の方向でポリシー強化へ</t>
        </is>
      </c>
    </row>
    <row r="24" ht="15" customHeight="1" s="93">
      <c r="A24" s="25" t="inlineStr">
        <is>
          <t>予約実績のある店舗</t>
        </is>
      </c>
      <c r="B24" s="25" t="inlineStr">
        <is>
          <t>20/52店舗</t>
        </is>
      </c>
      <c r="C24" s="25" t="inlineStr">
        <is>
          <t>32店舗は開設以来予約ゼロ（→需給分析シート）</t>
        </is>
      </c>
    </row>
    <row r="25" ht="15" customHeight="1" s="93">
      <c r="A25" s="25" t="inlineStr">
        <is>
          <t>取り分/件（5月実測）</t>
        </is>
      </c>
      <c r="B25" s="109" t="n">
        <v>1532</v>
      </c>
      <c r="C25" s="25" t="inlineStr">
        <is>
          <t>完了21件の平均。平均予約単価 ≈ ¥10,200</t>
        </is>
      </c>
    </row>
    <row r="27">
      <c r="A27" s="32" t="inlineStr">
        <is>
          <t>■ データ異常（DB再構築・バグ修正への入力）</t>
        </is>
      </c>
    </row>
    <row r="28" ht="45" customHeight="1" s="93">
      <c r="A28" s="103" t="inlineStr">
        <is>
          <t>・予約番号の重複: 1000000×3件・1000001×3件（採番ロジックのバグ疑い）</t>
        </is>
      </c>
    </row>
    <row r="29" ht="30" customHeight="1" s="93">
      <c r="A29" s="103" t="inlineStr">
        <is>
          <t>・合計金額¥12,001が3件（¥12,000+1円。金額計算バグ疑い）</t>
        </is>
      </c>
    </row>
    <row r="30" ht="15" customHeight="1" s="93">
      <c r="A30" s="103" t="inlineStr">
        <is>
          <t>・完全な空行が2件</t>
        </is>
      </c>
    </row>
    <row r="31" ht="45" customHeight="1" s="93">
      <c r="A31" s="103" t="inlineStr">
        <is>
          <t>・延長料金に手数料が掛かっていない（延長3件・計¥23,650 → 約¥3,500の取りこぼし）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zoomScale="140" zoomScaleNormal="140" workbookViewId="0">
      <selection activeCell="A1" sqref="A1"/>
    </sheetView>
  </sheetViews>
  <sheetFormatPr baseColWidth="10" defaultColWidth="8.83203125" defaultRowHeight="14"/>
  <cols>
    <col width="30" customWidth="1" style="93" min="1" max="1"/>
    <col width="27.33203125" customWidth="1" style="93" min="2" max="2"/>
    <col width="20" customWidth="1" style="93" min="3" max="3"/>
    <col width="60" customWidth="1" style="93" min="4" max="4"/>
  </cols>
  <sheetData>
    <row r="1" ht="16" customHeight="1" s="93">
      <c r="A1" s="31" t="inlineStr">
        <is>
          <t>収益の論点（優先度順）</t>
        </is>
      </c>
    </row>
    <row r="2">
      <c r="A2" s="30" t="inlineStr">
        <is>
          <t>分析日: 2026-06-11（本番データ）。出典・検証経緯は「出典と経緯」シート参照</t>
        </is>
      </c>
    </row>
    <row r="4">
      <c r="A4" s="32" t="inlineStr">
        <is>
          <t>■ 論点① 店頭決済の手数料は「紙請求で回収済み」と判明（6/12定例）— 論点は未回収から『見える化』へ</t>
        </is>
      </c>
    </row>
    <row r="5">
      <c r="A5" s="28" t="inlineStr">
        <is>
          <t>支払い方法</t>
        </is>
      </c>
      <c r="B5" s="28" t="inlineStr">
        <is>
          <t>件数</t>
        </is>
      </c>
      <c r="C5" s="28" t="inlineStr">
        <is>
          <t>手数料計</t>
        </is>
      </c>
      <c r="D5" s="28" t="inlineStr">
        <is>
          <t>請求済みフラグ</t>
        </is>
      </c>
    </row>
    <row r="6" ht="15" customHeight="1" s="93">
      <c r="A6" s="33" t="inlineStr">
        <is>
          <t>クレジットカード決済</t>
        </is>
      </c>
      <c r="B6" s="33" t="n">
        <v>6</v>
      </c>
      <c r="C6" s="110" t="n">
        <v>10780</v>
      </c>
      <c r="D6" s="33" t="inlineStr">
        <is>
          <t>はい（Pay.jpが自動分配）</t>
        </is>
      </c>
    </row>
    <row r="7" ht="15" customHeight="1" s="93">
      <c r="A7" s="34" t="inlineStr">
        <is>
          <t>店頭決済</t>
        </is>
      </c>
      <c r="B7" s="34" t="n">
        <v>43</v>
      </c>
      <c r="C7" s="111" t="n">
        <v>76150</v>
      </c>
      <c r="D7" s="34" t="inlineStr">
        <is>
          <t>すべて「いいえ」</t>
        </is>
      </c>
    </row>
    <row r="9">
      <c r="A9" s="87" t="inlineStr">
        <is>
          <t>・月次請求用の「手数料月ごと」テーブルは未使用（レコードなし）と確認済み</t>
        </is>
      </c>
    </row>
    <row r="10">
      <c r="A10" s="87" t="inlineStr">
        <is>
          <t>・Pay.jp本番: 売上一覧は全期間で10件のみ・入金残高¥8,690 → クレカ経由の実収入は約9千円（店頭決済分は紙請求で別途回収済み）</t>
        </is>
      </c>
    </row>
    <row r="11">
      <c r="A11" s="87" t="inlineStr">
        <is>
          <t>・構造問題: カード手数料3.3%は店舗負担のため、店舗には店頭決済に誘導する動機がある（88%が店頭決済）</t>
        </is>
      </c>
    </row>
    <row r="13">
      <c r="A13" s="32" t="inlineStr">
        <is>
          <t>■ 打ち手の候補</t>
        </is>
      </c>
    </row>
    <row r="14">
      <c r="A14" s="28" t="inlineStr">
        <is>
          <t>案</t>
        </is>
      </c>
      <c r="B14" s="28" t="inlineStr">
        <is>
          <t>内容</t>
        </is>
      </c>
      <c r="C14" s="28" t="inlineStr">
        <is>
          <t>評価</t>
        </is>
      </c>
      <c r="D14" s="28" t="inlineStr">
        <is>
          <t>備考</t>
        </is>
      </c>
    </row>
    <row r="15" ht="105" customHeight="1" s="93">
      <c r="A15" s="25" t="n">
        <v>1</v>
      </c>
      <c r="B15" s="25" t="inlineStr">
        <is>
          <t>現場キャッシュレス・クレジット1本化（増永さんの既定方針・6/12）</t>
        </is>
      </c>
      <c r="C15" s="25" t="inlineStr">
        <is>
          <t>最も確実</t>
        </is>
      </c>
      <c r="D15" s="25" t="inlineStr">
        <is>
          <t>延長・店頭オプション追加・当日予約もカード完結にする設計が前提。実現すれば紙請求は廃止でき、ブラックボックスも消える</t>
        </is>
      </c>
    </row>
    <row r="16" ht="45" customHeight="1" s="93">
      <c r="A16" s="25" t="n">
        <v>2</v>
      </c>
      <c r="B16" s="25" t="inlineStr">
        <is>
          <t>全額集約→手数料控除して振込+店舗月額課金</t>
        </is>
      </c>
      <c r="C16" s="25" t="inlineStr">
        <is>
          <t>器はある</t>
        </is>
      </c>
      <c r="D16" s="25" t="inlineStr">
        <is>
          <t>増永さんの構想（6/12）:「請求される」より「振り込まれる」方が店舗のやってる感が出て離脱防止になる。月額課金とセットで設計中</t>
        </is>
      </c>
    </row>
    <row r="17" ht="30" customHeight="1" s="93">
      <c r="A17" s="25" t="n">
        <v>3</v>
      </c>
      <c r="B17" s="25" t="inlineStr">
        <is>
          <t>紙請求額とDB記録の突合 → 不要と判断（6/12）</t>
        </is>
      </c>
      <c r="C17" s="25" t="inlineStr">
        <is>
          <t>中止</t>
        </is>
      </c>
      <c r="D17" s="25" t="inlineStr">
        <is>
          <t>請求は紙で適切に回っており（15%で請求していたと思われる）検証の必要なしと判断。見える化は案1（カード1本化）で実現する</t>
        </is>
      </c>
    </row>
    <row r="19">
      <c r="A19" s="32" t="inlineStr">
        <is>
          <t>■ その他の論点</t>
        </is>
      </c>
    </row>
    <row r="20">
      <c r="A20" s="28" t="inlineStr">
        <is>
          <t>論点</t>
        </is>
      </c>
      <c r="B20" s="28" t="inlineStr">
        <is>
          <t>状態</t>
        </is>
      </c>
      <c r="C20" s="28" t="inlineStr">
        <is>
          <t>内容</t>
        </is>
      </c>
      <c r="D20" s="28" t="n"/>
    </row>
    <row r="21" ht="45" customHeight="1" s="93">
      <c r="A21" s="25" t="inlineStr">
        <is>
          <t>② 手数料15%</t>
        </is>
      </c>
      <c r="B21" s="25" t="inlineStr">
        <is>
          <t>検証完了</t>
        </is>
      </c>
      <c r="C21" s="25" t="inlineStr">
        <is>
          <t>2026-05以降の全完了予約で15%を確認。問題なし</t>
        </is>
      </c>
      <c r="D21" s="25" t="n"/>
    </row>
    <row r="22" ht="60" customHeight="1" s="93">
      <c r="A22" s="25" t="inlineStr">
        <is>
          <t>③ 延長料金に手数料なし</t>
        </is>
      </c>
      <c r="B22" s="25" t="inlineStr">
        <is>
          <t>要修正</t>
        </is>
      </c>
      <c r="C22" s="25" t="inlineStr">
        <is>
          <t>延長分の15%（約¥3,500相当）が取れていない。DB再構築の決済ロジックで対応</t>
        </is>
      </c>
      <c r="D22" s="25" t="n"/>
    </row>
    <row r="23" ht="45" customHeight="1" s="93">
      <c r="A23" s="25" t="inlineStr">
        <is>
          <t>④ キャンセル率23%</t>
        </is>
      </c>
      <c r="B23" s="25" t="inlineStr">
        <is>
          <t>回答済み(6/12)</t>
        </is>
      </c>
      <c r="C23" s="25" t="inlineStr">
        <is>
          <t>天候+日程変更が大半。雨以外は課金の方向でポリシー強化+50円オーソリを設計（タスク#28）</t>
        </is>
      </c>
      <c r="D23" s="2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zoomScale="140" zoomScaleNormal="140" workbookViewId="0">
      <selection activeCell="A12" sqref="A12"/>
    </sheetView>
  </sheetViews>
  <sheetFormatPr baseColWidth="10" defaultColWidth="8.83203125" defaultRowHeight="14"/>
  <cols>
    <col width="34" customWidth="1" style="93" min="1" max="1"/>
    <col width="10" customWidth="1" style="93" min="2" max="2"/>
    <col width="14" customWidth="1" style="93" min="3" max="3"/>
    <col width="10" customWidth="1" style="93" min="4" max="4"/>
    <col width="52" customWidth="1" style="93" min="5" max="5"/>
  </cols>
  <sheetData>
    <row r="1" ht="16" customHeight="1" s="93">
      <c r="A1" s="18" t="inlineStr">
        <is>
          <t>RINCLE 月次コスト構造の棚卸し</t>
        </is>
      </c>
    </row>
    <row r="2">
      <c r="A2" s="2" t="inlineStr">
        <is>
          <t>黄色セル＝実数を記入。「月次固定費 合計」（運営損益ベース）が試算モデルの固定費(B9)とKPI計画の損益分岐ラインに自動連動。開発委託費は投資扱いで別枠（委託費込み合計は参考行）</t>
        </is>
      </c>
    </row>
    <row r="4">
      <c r="A4" s="12" t="inlineStr">
        <is>
          <t>項目</t>
        </is>
      </c>
      <c r="B4" s="12" t="inlineStr">
        <is>
          <t>分類</t>
        </is>
      </c>
      <c r="C4" s="12" t="inlineStr">
        <is>
          <t>月額</t>
        </is>
      </c>
      <c r="D4" s="12" t="inlineStr">
        <is>
          <t>状態</t>
        </is>
      </c>
      <c r="E4" s="12" t="inlineStr">
        <is>
          <t>メモ</t>
        </is>
      </c>
    </row>
    <row r="5">
      <c r="A5" s="4" t="inlineStr">
        <is>
          <t>Bubble Growthプラン（年契約）</t>
        </is>
      </c>
      <c r="B5" s="4" t="inlineStr">
        <is>
          <t>固定</t>
        </is>
      </c>
      <c r="C5" s="112" t="n">
        <v>18000</v>
      </c>
      <c r="D5" s="4" t="inlineStr">
        <is>
          <t>ほぼ確定</t>
        </is>
      </c>
      <c r="E5" s="19" t="inlineStr">
        <is>
          <t>$119/月×約150円。為替と契約明細で要最終確認</t>
        </is>
      </c>
    </row>
    <row r="6">
      <c r="A6" s="4" t="inlineStr">
        <is>
          <t>独自ドメイン（rincle.co.jp）</t>
        </is>
      </c>
      <c r="B6" s="4" t="inlineStr">
        <is>
          <t>固定</t>
        </is>
      </c>
      <c r="C6" s="112" t="n">
        <v>300</v>
      </c>
      <c r="D6" s="20" t="inlineStr">
        <is>
          <t>仮置き</t>
        </is>
      </c>
      <c r="E6" s="19" t="inlineStr">
        <is>
          <t>年額を12分割した概算</t>
        </is>
      </c>
    </row>
    <row r="7">
      <c r="A7" s="4" t="inlineStr">
        <is>
          <t>Pay.jp 月額固定費</t>
        </is>
      </c>
      <c r="B7" s="4" t="inlineStr">
        <is>
          <t>固定</t>
        </is>
      </c>
      <c r="C7" s="112" t="n">
        <v>0</v>
      </c>
      <c r="D7" s="4" t="inlineStr">
        <is>
          <t>確定</t>
        </is>
      </c>
      <c r="E7" s="19" t="inlineStr">
        <is>
          <t>月額0円・従量のみ。カード手数料3.3%は店舗負担（PAY.JP公表のスタンダード料率（2026年6月時点）。契約上の実料率はPAY.JP管理画面で要確認）</t>
        </is>
      </c>
    </row>
    <row r="8">
      <c r="A8" s="4" t="inlineStr">
        <is>
          <t>運営人件費（予約対応・店舗サポート）</t>
        </is>
      </c>
      <c r="B8" s="4" t="inlineStr">
        <is>
          <t>固定</t>
        </is>
      </c>
      <c r="C8" s="112" t="n">
        <v>0</v>
      </c>
      <c r="D8" s="20" t="inlineStr">
        <is>
          <t>確定(6/12)</t>
        </is>
      </c>
      <c r="E8" s="81" t="inlineStr">
        <is>
          <t>現在は無給で運営（増永さん談・2026-06-12定例）。給与計上を始めたらここを更新</t>
        </is>
      </c>
    </row>
    <row r="9">
      <c r="A9" s="4" t="inlineStr">
        <is>
          <t>メール配信（SendGrid等Bubble外のツール）</t>
        </is>
      </c>
      <c r="B9" s="4" t="inlineStr">
        <is>
          <t>固定</t>
        </is>
      </c>
      <c r="C9" s="112" t="n">
        <v>0</v>
      </c>
      <c r="D9" s="20" t="inlineStr">
        <is>
          <t>要確認</t>
        </is>
      </c>
      <c r="E9" s="19" t="inlineStr">
        <is>
          <t>Bubble標準のみなら0円</t>
        </is>
      </c>
    </row>
    <row r="10">
      <c r="A10" s="4" t="inlineStr">
        <is>
          <t>会計・請求・その他SaaS</t>
        </is>
      </c>
      <c r="B10" s="4" t="inlineStr">
        <is>
          <t>固定</t>
        </is>
      </c>
      <c r="C10" s="112" t="n">
        <v>0</v>
      </c>
      <c r="D10" s="20" t="inlineStr">
        <is>
          <t>要確認</t>
        </is>
      </c>
      <c r="E10" s="19" t="inlineStr">
        <is>
          <t>請求オペを始める場合はここに追加</t>
        </is>
      </c>
    </row>
    <row r="11">
      <c r="A11" s="4" t="inlineStr">
        <is>
          <t>開発・保守委託費</t>
        </is>
      </c>
      <c r="B11" s="4" t="inlineStr">
        <is>
          <t>固定</t>
        </is>
      </c>
      <c r="C11" s="112" t="n">
        <v>1000000</v>
      </c>
      <c r="D11" s="141" t="inlineStr">
        <is>
          <t>概算</t>
        </is>
      </c>
      <c r="E11" s="19" t="inlineStr">
        <is>
          <t>準委任契約（瀬野・山本）・月稼働約100万円。事業の運営損益では投資扱いで合計から除外し、下の「委託費込み」で全体の持ち出しを見る</t>
        </is>
      </c>
    </row>
    <row r="12">
      <c r="A12" s="4" t="inlineStr">
        <is>
          <t>広告費</t>
        </is>
      </c>
      <c r="B12" s="4" t="inlineStr">
        <is>
          <t>変動</t>
        </is>
      </c>
      <c r="C12" s="112" t="n">
        <v>0</v>
      </c>
      <c r="D12" s="4" t="inlineStr">
        <is>
          <t>確定(現状)</t>
        </is>
      </c>
      <c r="E12" s="19" t="inlineStr">
        <is>
          <t>現在ゼロ。スモークテスト開始時に記入</t>
        </is>
      </c>
    </row>
    <row r="13">
      <c r="A13" s="17" t="inlineStr">
        <is>
          <t>月次固定費 合計（運営損益ベース・開発委託費を除く）</t>
        </is>
      </c>
      <c r="B13" s="4" t="n"/>
      <c r="C13" s="113">
        <f>SUM(C5:C10)+C12</f>
        <v/>
      </c>
      <c r="D13" s="4" t="n"/>
      <c r="E13" s="4" t="n"/>
    </row>
    <row r="14">
      <c r="A14" s="90" t="inlineStr">
        <is>
          <t>（参考）開発委託費込みの月次支出 合計</t>
        </is>
      </c>
      <c r="C14" s="142">
        <f>SUM(C5:C12)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zoomScale="140" zoomScaleNormal="140" workbookViewId="0">
      <selection activeCell="A23" sqref="A23"/>
    </sheetView>
  </sheetViews>
  <sheetFormatPr baseColWidth="10" defaultColWidth="8.83203125" defaultRowHeight="14"/>
  <cols>
    <col width="34" customWidth="1" style="93" min="1" max="1"/>
    <col width="16" customWidth="1" style="93" min="2" max="6"/>
  </cols>
  <sheetData>
    <row r="1" ht="17" customHeight="1" s="93">
      <c r="A1" s="1" t="inlineStr">
        <is>
          <t>RINCLE ユニットエコノミクス試算モデル</t>
        </is>
      </c>
    </row>
    <row r="2">
      <c r="A2" s="2" t="inlineStr">
        <is>
          <t>黄色セル＝前提（自由に変更可） / 青セル＝自動計算。根拠は「出典と経緯」シート参照</t>
        </is>
      </c>
    </row>
    <row r="4">
      <c r="A4" s="3" t="inlineStr">
        <is>
          <t>■ 前提（入力）</t>
        </is>
      </c>
    </row>
    <row r="5">
      <c r="A5" s="4" t="inlineStr">
        <is>
          <t>手数料率</t>
        </is>
      </c>
      <c r="B5" s="114" t="n">
        <v>0.15</v>
      </c>
      <c r="C5" s="6" t="inlineStr">
        <is>
          <t>契約15%・2026-05から実装も15%（全件照合済み）。4月以前は10%</t>
        </is>
      </c>
    </row>
    <row r="6">
      <c r="A6" s="4" t="inlineStr">
        <is>
          <t>平均予約単価（GMV）</t>
        </is>
      </c>
      <c r="B6" s="112" t="n">
        <v>10200</v>
      </c>
      <c r="C6" s="6" t="inlineStr">
        <is>
          <t>実測: 5月の完了21件平均手数料¥1,532÷15%。6月は大口化で上昇傾向（参考¥25,700）</t>
        </is>
      </c>
    </row>
    <row r="7">
      <c r="A7" s="4" t="inlineStr">
        <is>
          <t>月間予約件数</t>
        </is>
      </c>
      <c r="B7" s="115" t="n">
        <v>21</v>
      </c>
      <c r="C7" s="6" t="inlineStr">
        <is>
          <t>実績: 2026年5月の完了予約（実予約28件、うちキャンセル5・来客待ち等）</t>
        </is>
      </c>
    </row>
    <row r="8">
      <c r="A8" s="4" t="inlineStr">
        <is>
          <t>手数料の徴収率</t>
        </is>
      </c>
      <c r="B8" s="114" t="n">
        <v>1</v>
      </c>
      <c r="C8" s="6" t="inlineStr">
        <is>
          <t>通常は1（店頭決済分も紙請求で回収済み・6/12確認）。Pay.jp入金のみで見る場合は0.12</t>
        </is>
      </c>
    </row>
    <row r="9">
      <c r="A9" s="4" t="inlineStr">
        <is>
          <t>月間固定費</t>
        </is>
      </c>
      <c r="B9" s="112">
        <f>コスト棚卸し!C13</f>
        <v/>
      </c>
      <c r="C9" s="6" t="inlineStr">
        <is>
          <t>「コスト棚卸し」シートの運営損益ベース合計に自動連動（開発委託費は含まない。含めて見たい場合は実数を直接入力）</t>
        </is>
      </c>
    </row>
    <row r="11">
      <c r="A11" s="3" t="inlineStr">
        <is>
          <t>■ 計算結果</t>
        </is>
      </c>
    </row>
    <row r="12">
      <c r="A12" s="4" t="inlineStr">
        <is>
          <t>RINCLEの取り分 / 件</t>
        </is>
      </c>
      <c r="B12" s="116">
        <f>B6*B5</f>
        <v/>
      </c>
    </row>
    <row r="13">
      <c r="A13" s="4" t="inlineStr">
        <is>
          <t>月間GMV</t>
        </is>
      </c>
      <c r="B13" s="116">
        <f>B6*B7</f>
        <v/>
      </c>
    </row>
    <row r="14">
      <c r="A14" s="4" t="inlineStr">
        <is>
          <t>月間収益（徴収率込み）</t>
        </is>
      </c>
      <c r="B14" s="116">
        <f>B6*B5*B7*B8</f>
        <v/>
      </c>
    </row>
    <row r="15">
      <c r="A15" s="4" t="inlineStr">
        <is>
          <t>月間損益</t>
        </is>
      </c>
      <c r="B15" s="116">
        <f>B14-B9</f>
        <v/>
      </c>
    </row>
    <row r="16">
      <c r="A16" s="4" t="inlineStr">
        <is>
          <t>損益分岐に必要な予約数 / 月</t>
        </is>
      </c>
      <c r="B16" s="117">
        <f>B9/(B6*B5*B8)</f>
        <v/>
      </c>
    </row>
    <row r="17">
      <c r="A17" s="4" t="inlineStr">
        <is>
          <t>現状件数との倍率</t>
        </is>
      </c>
      <c r="B17" s="118">
        <f>B16/B7</f>
        <v/>
      </c>
    </row>
    <row r="20">
      <c r="A20" s="3" t="inlineStr">
        <is>
          <t>■ 月間損益マトリクス（行=月間予約件数、列=月間固定費）※手数料率・単価・徴収率は上の前提に連動</t>
        </is>
      </c>
    </row>
    <row r="21">
      <c r="A21" s="12" t="inlineStr">
        <is>
          <t>件数＼固定費</t>
        </is>
      </c>
      <c r="B21" s="119" t="n">
        <v>20000</v>
      </c>
      <c r="C21" s="119" t="n">
        <v>100000</v>
      </c>
      <c r="D21" s="119" t="n">
        <v>300000</v>
      </c>
      <c r="E21" s="119" t="n">
        <v>500000</v>
      </c>
    </row>
    <row r="22">
      <c r="A22" s="120" t="n">
        <v>10</v>
      </c>
      <c r="B22" s="121">
        <f>$A22*$B$6*$B$5*$B$8-B$21</f>
        <v/>
      </c>
      <c r="C22" s="121">
        <f>$A22*$B$6*$B$5*$B$8-C$21</f>
        <v/>
      </c>
      <c r="D22" s="121">
        <f>$A22*$B$6*$B$5*$B$8-D$21</f>
        <v/>
      </c>
      <c r="E22" s="121">
        <f>$A22*$B$6*$B$5*$B$8-E$21</f>
        <v/>
      </c>
    </row>
    <row r="23">
      <c r="A23" s="120" t="n">
        <v>20</v>
      </c>
      <c r="B23" s="121">
        <f>$A23*$B$6*$B$5*$B$8-B$21</f>
        <v/>
      </c>
      <c r="C23" s="121">
        <f>$A23*$B$6*$B$5*$B$8-C$21</f>
        <v/>
      </c>
      <c r="D23" s="121">
        <f>$A23*$B$6*$B$5*$B$8-D$21</f>
        <v/>
      </c>
      <c r="E23" s="121">
        <f>$A23*$B$6*$B$5*$B$8-E$21</f>
        <v/>
      </c>
    </row>
    <row r="24">
      <c r="A24" s="120" t="n">
        <v>41</v>
      </c>
      <c r="B24" s="121">
        <f>$A24*$B$6*$B$5*$B$8-B$21</f>
        <v/>
      </c>
      <c r="C24" s="121">
        <f>$A24*$B$6*$B$5*$B$8-C$21</f>
        <v/>
      </c>
      <c r="D24" s="121">
        <f>$A24*$B$6*$B$5*$B$8-D$21</f>
        <v/>
      </c>
      <c r="E24" s="121">
        <f>$A24*$B$6*$B$5*$B$8-E$21</f>
        <v/>
      </c>
    </row>
    <row r="25">
      <c r="A25" s="120" t="n">
        <v>60</v>
      </c>
      <c r="B25" s="121">
        <f>$A25*$B$6*$B$5*$B$8-B$21</f>
        <v/>
      </c>
      <c r="C25" s="121">
        <f>$A25*$B$6*$B$5*$B$8-C$21</f>
        <v/>
      </c>
      <c r="D25" s="121">
        <f>$A25*$B$6*$B$5*$B$8-D$21</f>
        <v/>
      </c>
      <c r="E25" s="121">
        <f>$A25*$B$6*$B$5*$B$8-E$21</f>
        <v/>
      </c>
    </row>
    <row r="26">
      <c r="A26" s="120" t="n">
        <v>80</v>
      </c>
      <c r="B26" s="121">
        <f>$A26*$B$6*$B$5*$B$8-B$21</f>
        <v/>
      </c>
      <c r="C26" s="121">
        <f>$A26*$B$6*$B$5*$B$8-C$21</f>
        <v/>
      </c>
      <c r="D26" s="121">
        <f>$A26*$B$6*$B$5*$B$8-D$21</f>
        <v/>
      </c>
      <c r="E26" s="121">
        <f>$A26*$B$6*$B$5*$B$8-E$21</f>
        <v/>
      </c>
    </row>
    <row r="27">
      <c r="A27" s="120" t="n">
        <v>113</v>
      </c>
      <c r="B27" s="121">
        <f>$A27*$B$6*$B$5*$B$8-B$21</f>
        <v/>
      </c>
      <c r="C27" s="121">
        <f>$A27*$B$6*$B$5*$B$8-C$21</f>
        <v/>
      </c>
      <c r="D27" s="121">
        <f>$A27*$B$6*$B$5*$B$8-D$21</f>
        <v/>
      </c>
      <c r="E27" s="121">
        <f>$A27*$B$6*$B$5*$B$8-E$21</f>
        <v/>
      </c>
    </row>
    <row r="28">
      <c r="A28" s="120" t="n">
        <v>150</v>
      </c>
      <c r="B28" s="121">
        <f>$A28*$B$6*$B$5*$B$8-B$21</f>
        <v/>
      </c>
      <c r="C28" s="121">
        <f>$A28*$B$6*$B$5*$B$8-C$21</f>
        <v/>
      </c>
      <c r="D28" s="121">
        <f>$A28*$B$6*$B$5*$B$8-D$21</f>
        <v/>
      </c>
      <c r="E28" s="121">
        <f>$A28*$B$6*$B$5*$B$8-E$21</f>
        <v/>
      </c>
    </row>
    <row r="29">
      <c r="A29" s="120" t="n">
        <v>200</v>
      </c>
      <c r="B29" s="121">
        <f>$A29*$B$6*$B$5*$B$8-B$21</f>
        <v/>
      </c>
      <c r="C29" s="121">
        <f>$A29*$B$6*$B$5*$B$8-C$21</f>
        <v/>
      </c>
      <c r="D29" s="121">
        <f>$A29*$B$6*$B$5*$B$8-D$21</f>
        <v/>
      </c>
      <c r="E29" s="121">
        <f>$A29*$B$6*$B$5*$B$8-E$21</f>
        <v/>
      </c>
    </row>
    <row r="31">
      <c r="A31" s="92" t="inlineStr">
        <is>
          <t>⚠ 店頭決済43件の手数料¥76,150はDB上「請求済み=いいえ」だが、実態は紙請求で回収済み（15%で請求していたと思われる・6/12）。突合は不要と判断済み</t>
        </is>
      </c>
    </row>
  </sheetData>
  <mergeCells count="1">
    <mergeCell ref="A31:F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140" zoomScaleNormal="140" workbookViewId="0">
      <selection activeCell="C10" sqref="C10"/>
    </sheetView>
  </sheetViews>
  <sheetFormatPr baseColWidth="10" defaultColWidth="8.83203125" defaultRowHeight="14"/>
  <cols>
    <col width="12" customWidth="1" style="93" min="1" max="1"/>
    <col width="18" customWidth="1" style="93" min="2" max="5"/>
  </cols>
  <sheetData>
    <row r="1">
      <c r="A1" s="3" t="inlineStr">
        <is>
          <t>月別の実予約実績（source/reserve.csv・予約番号あり・返却日ベース、2026-06-11時点）</t>
        </is>
      </c>
    </row>
    <row r="2">
      <c r="A2" s="12" t="inlineStr">
        <is>
          <t>月</t>
        </is>
      </c>
      <c r="B2" s="12" t="inlineStr">
        <is>
          <t>完了予約</t>
        </is>
      </c>
      <c r="C2" s="12" t="inlineStr">
        <is>
          <t>手数料収入(実額)</t>
        </is>
      </c>
      <c r="D2" s="12" t="inlineStr">
        <is>
          <t>推定GMV</t>
        </is>
      </c>
      <c r="E2" s="12" t="inlineStr">
        <is>
          <t>メモ</t>
        </is>
      </c>
    </row>
    <row r="3">
      <c r="A3" s="4" t="inlineStr">
        <is>
          <t>2025-10</t>
        </is>
      </c>
      <c r="B3" s="122" t="n">
        <v>1</v>
      </c>
      <c r="C3" s="121" t="n">
        <v>3465</v>
      </c>
      <c r="D3" s="121">
        <f>IF(B3=0,0,C3/IF(A3&lt;"2026-05",0.1,0.15))</f>
        <v/>
      </c>
      <c r="E3" s="4" t="inlineStr">
        <is>
          <t>実予約4・キャンセル3</t>
        </is>
      </c>
    </row>
    <row r="4">
      <c r="A4" s="4" t="inlineStr">
        <is>
          <t>2025-11</t>
        </is>
      </c>
      <c r="B4" s="122" t="n">
        <v>4</v>
      </c>
      <c r="C4" s="121" t="n">
        <v>12980</v>
      </c>
      <c r="D4" s="121">
        <f>IF(B4=0,0,C4/IF(A4&lt;"2026-05",0.1,0.15))</f>
        <v/>
      </c>
      <c r="E4" s="4" t="n"/>
    </row>
    <row r="5">
      <c r="A5" s="4" t="inlineStr">
        <is>
          <t>2025-12</t>
        </is>
      </c>
      <c r="B5" s="122" t="n">
        <v>0</v>
      </c>
      <c r="C5" s="121" t="n">
        <v>0</v>
      </c>
      <c r="D5" s="121">
        <f>IF(B5=0,0,C5/IF(A5&lt;"2026-05",0.1,0.15))</f>
        <v/>
      </c>
      <c r="E5" s="4" t="n"/>
    </row>
    <row r="6">
      <c r="A6" s="4" t="inlineStr">
        <is>
          <t>2026-01</t>
        </is>
      </c>
      <c r="B6" s="122" t="n">
        <v>0</v>
      </c>
      <c r="C6" s="121" t="n">
        <v>0</v>
      </c>
      <c r="D6" s="121">
        <f>IF(B6=0,0,C6/IF(A6&lt;"2026-05",0.1,0.15))</f>
        <v/>
      </c>
      <c r="E6" s="4" t="n"/>
    </row>
    <row r="7">
      <c r="A7" s="4" t="inlineStr">
        <is>
          <t>2026-02</t>
        </is>
      </c>
      <c r="B7" s="122" t="n">
        <v>5</v>
      </c>
      <c r="C7" s="121" t="n">
        <v>4345</v>
      </c>
      <c r="D7" s="121">
        <f>IF(B7=0,0,C7/IF(A7&lt;"2026-05",0.1,0.15))</f>
        <v/>
      </c>
      <c r="E7" s="4" t="n"/>
    </row>
    <row r="8">
      <c r="A8" s="4" t="inlineStr">
        <is>
          <t>2026-03</t>
        </is>
      </c>
      <c r="B8" s="122" t="n">
        <v>5</v>
      </c>
      <c r="C8" s="121" t="n">
        <v>4730</v>
      </c>
      <c r="D8" s="121">
        <f>IF(B8=0,0,C8/IF(A8&lt;"2026-05",0.1,0.15))</f>
        <v/>
      </c>
      <c r="E8" s="4" t="inlineStr">
        <is>
          <t>キャンセル1</t>
        </is>
      </c>
    </row>
    <row r="9">
      <c r="A9" s="4" t="inlineStr">
        <is>
          <t>2026-04</t>
        </is>
      </c>
      <c r="B9" s="122" t="n">
        <v>9</v>
      </c>
      <c r="C9" s="121" t="n">
        <v>13823</v>
      </c>
      <c r="D9" s="121">
        <f>IF(B9=0,0,C9/IF(A9&lt;"2026-05",0.1,0.15))</f>
        <v/>
      </c>
      <c r="E9" s="4" t="inlineStr">
        <is>
          <t>実予約15・キャンセル6・ここまで手数料10%</t>
        </is>
      </c>
    </row>
    <row r="10">
      <c r="A10" s="4" t="inlineStr">
        <is>
          <t>2026-05</t>
        </is>
      </c>
      <c r="B10" s="122" t="n">
        <v>21</v>
      </c>
      <c r="C10" s="121" t="n">
        <v>32175</v>
      </c>
      <c r="D10" s="121">
        <f>IF(B10=0,0,C10/IF(A10&lt;"2026-05",0.1,0.15))</f>
        <v/>
      </c>
      <c r="E10" s="4" t="inlineStr">
        <is>
          <t>実予約28・キャンセル5・15%適用開始</t>
        </is>
      </c>
    </row>
    <row r="11">
      <c r="A11" s="4" t="inlineStr">
        <is>
          <t>2026-06</t>
        </is>
      </c>
      <c r="B11" s="122" t="n">
        <v>4</v>
      </c>
      <c r="C11" s="121" t="n">
        <v>15412</v>
      </c>
      <c r="D11" s="121">
        <f>IF(B11=0,0,C11/IF(A11&lt;"2026-05",0.1,0.15))</f>
        <v/>
      </c>
      <c r="E11" s="4" t="inlineStr">
        <is>
          <t>6/11時点・大口傾向</t>
        </is>
      </c>
    </row>
    <row r="12">
      <c r="A12" s="17" t="inlineStr">
        <is>
          <t>累計</t>
        </is>
      </c>
      <c r="B12" s="120">
        <f>SUM(B3:B11)</f>
        <v/>
      </c>
      <c r="C12" s="116">
        <f>SUM(C3:C11)</f>
        <v/>
      </c>
      <c r="D12" s="116">
        <f>SUM(D3:D11)</f>
        <v/>
      </c>
      <c r="E12" s="4" t="n"/>
    </row>
    <row r="15">
      <c r="A15" s="2" t="inlineStr">
        <is>
          <t>実態: 完了49件(手数料記録100%) / キャンセル16件(23%) / 店頭決済43件¥76,150はDB上未請求表示だが紙請求で回収済み(6/12) / 予約実績は20/52店舗のみ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"/>
  <sheetViews>
    <sheetView tabSelected="1" zoomScale="140" zoomScaleNormal="140" workbookViewId="0">
      <selection activeCell="A1" sqref="A1"/>
    </sheetView>
  </sheetViews>
  <sheetFormatPr baseColWidth="10" defaultColWidth="8.83203125" defaultRowHeight="14"/>
  <cols>
    <col width="52" customWidth="1" style="93" min="1" max="1"/>
    <col width="26" customWidth="1" style="93" min="2" max="2"/>
    <col width="56" customWidth="1" style="93" min="3" max="3"/>
  </cols>
  <sheetData>
    <row r="1" ht="16" customHeight="1" s="93">
      <c r="A1" s="31" t="inlineStr">
        <is>
          <t>KPIツリー — 収益の分解地図</t>
        </is>
      </c>
    </row>
    <row r="2">
      <c r="A2" s="30" t="inlineStr">
        <is>
          <t>数字は2026年5月の実測。〔KGI〕〔KPI n〕は「KPI計画/進捗」シートで毎月追跡する指標</t>
        </is>
      </c>
    </row>
    <row r="3">
      <c r="A3" s="104" t="inlineStr">
        <is>
          <t>★運用ルール: 施策を始める前に「この施策はツリーのどのノードを動かすためのものか」を必ず1つ指定する。指定できない施策は思いつきの可能性が高いので保留</t>
        </is>
      </c>
    </row>
    <row r="5">
      <c r="A5" s="58" t="inlineStr">
        <is>
          <t>月間手数料収益〔KGI〕</t>
        </is>
      </c>
      <c r="B5" t="inlineStr">
        <is>
          <t>実入金¥1,320（Pay.jp分のみ）/ 記録上¥32,175</t>
        </is>
      </c>
      <c r="C5" s="64" t="inlineStr">
        <is>
          <t>参考: KPI計画シートに試算あり（目標としては凍結中・2026-06-12方針）</t>
        </is>
      </c>
    </row>
    <row r="6">
      <c r="A6" t="inlineStr">
        <is>
          <t>├─ GMV（流通総額）〔参考指標〕</t>
        </is>
      </c>
      <c r="B6" t="inlineStr">
        <is>
          <t>約¥215,000/月</t>
        </is>
      </c>
      <c r="C6" s="64" t="n"/>
    </row>
    <row r="7">
      <c r="A7" t="inlineStr">
        <is>
          <t>│   ├─ 完了予約数〔KPI1〕</t>
        </is>
      </c>
      <c r="B7" t="inlineStr">
        <is>
          <t>21件/月</t>
        </is>
      </c>
      <c r="C7" s="64" t="n"/>
    </row>
    <row r="8">
      <c r="A8" t="inlineStr">
        <is>
          <t>│   │   ├─ 実予約数</t>
        </is>
      </c>
      <c r="B8" t="inlineStr">
        <is>
          <t>28件/月</t>
        </is>
      </c>
      <c r="C8" s="64" t="n"/>
    </row>
    <row r="9">
      <c r="A9" s="65" t="inlineStr">
        <is>
          <t>│   │   │   ├─ セッション数〔KPI3〕 ★ボトルネック2</t>
        </is>
      </c>
      <c r="B9" s="66" t="inlineStr">
        <is>
          <t>約700ユニークIP/月</t>
        </is>
      </c>
      <c r="C9" s="64" t="inlineStr">
        <is>
          <t>12月に必要なのは約2,600/月（3.7倍）</t>
        </is>
      </c>
    </row>
    <row r="10">
      <c r="A10" t="inlineStr">
        <is>
          <t>│   │   │   │   ├─ Organic Search〔KPI4〕</t>
        </is>
      </c>
      <c r="B10" t="inlineStr">
        <is>
          <t>ほぼゼロ</t>
        </is>
      </c>
      <c r="C10" s="64" t="inlineStr">
        <is>
          <t>GA4設置後に計測開始。現状インデックス2〜3頁</t>
        </is>
      </c>
    </row>
    <row r="11">
      <c r="A11" t="inlineStr">
        <is>
          <t>│   │   │   │   ├─ Direct / Referral（ショップ経由）</t>
        </is>
      </c>
      <c r="B11" t="inlineStr">
        <is>
          <t>内訳未計測</t>
        </is>
      </c>
      <c r="C11" s="64" t="n"/>
    </row>
    <row r="12">
      <c r="A12" t="inlineStr">
        <is>
          <t>│   │   │   │   ├─ Social</t>
        </is>
      </c>
      <c r="B12" t="inlineStr">
        <is>
          <t>未運用</t>
        </is>
      </c>
      <c r="C12" s="64" t="n"/>
    </row>
    <row r="13">
      <c r="A13" t="inlineStr">
        <is>
          <t>│   │   │   │   └─ Paid</t>
        </is>
      </c>
      <c r="B13" t="inlineStr">
        <is>
          <t>¥0・未出稿</t>
        </is>
      </c>
      <c r="C13" s="64" t="n"/>
    </row>
    <row r="14">
      <c r="A14" t="inlineStr">
        <is>
          <t>│   │   │   └─ 予約CVR〔KPI5〕</t>
        </is>
      </c>
      <c r="B14" t="inlineStr">
        <is>
          <t>約4%</t>
        </is>
      </c>
      <c r="C14" s="64" t="inlineStr">
        <is>
          <t>健全水準。分母=流入が先</t>
        </is>
      </c>
    </row>
    <row r="15">
      <c r="A15" t="inlineStr">
        <is>
          <t>│   │   └─ キャンセル率〔参考指標〕</t>
        </is>
      </c>
      <c r="B15" t="inlineStr">
        <is>
          <t>23%</t>
        </is>
      </c>
      <c r="C15" s="64" t="inlineStr">
        <is>
          <t>天候+日程変更が大半（6/12回答）</t>
        </is>
      </c>
    </row>
    <row r="16">
      <c r="A16" t="inlineStr">
        <is>
          <t>│   └─ 平均予約単価</t>
        </is>
      </c>
      <c r="B16" t="inlineStr">
        <is>
          <t>約¥10,200</t>
        </is>
      </c>
      <c r="C16" s="64" t="inlineStr">
        <is>
          <t>6月は大口化で上昇傾向</t>
        </is>
      </c>
    </row>
    <row r="17">
      <c r="A17" t="inlineStr">
        <is>
          <t>├─ 手数料率</t>
        </is>
      </c>
      <c r="B17" t="inlineStr">
        <is>
          <t>15%（2026-05〜・検証済み）</t>
        </is>
      </c>
      <c r="C17" s="64" t="inlineStr">
        <is>
          <t>店舗負担計18.3%＝上限。これ以上触らない</t>
        </is>
      </c>
    </row>
    <row r="18" ht="28" customHeight="1" s="93">
      <c r="A18" s="65" t="inlineStr">
        <is>
          <t>└─ 回収率〔KPI2〕 ★ボトルネック1</t>
        </is>
      </c>
      <c r="B18" s="66" t="inlineStr">
        <is>
          <t>5月4% / 累計12%</t>
        </is>
      </c>
      <c r="C18" s="64" t="inlineStr">
        <is>
          <t>6/12判明: 紙請求で回収済み（15%請求と思われる・突合は不要と判断）。見える化はカード1本化の実現で担保する</t>
        </is>
      </c>
    </row>
    <row r="19">
      <c r="A19" t="inlineStr">
        <is>
          <t xml:space="preserve">　　├─ クレカ決済比率</t>
        </is>
      </c>
      <c r="B19" t="inlineStr">
        <is>
          <t>完了49件中6件=12%</t>
        </is>
      </c>
      <c r="C19" s="64" t="inlineStr">
        <is>
          <t>Pay.jpが自動回収</t>
        </is>
      </c>
    </row>
    <row r="20">
      <c r="A20" t="inlineStr">
        <is>
          <t xml:space="preserve">　　└─ 店頭決済の請求オペ</t>
        </is>
      </c>
      <c r="B20" t="inlineStr">
        <is>
          <t>紙請求で稼働中（システム外）</t>
        </is>
      </c>
      <c r="C20" s="64" t="inlineStr">
        <is>
          <t>DB上は未請求表示だが、実際は紙請求で回収済み（6/12・突合は不要と判断）</t>
        </is>
      </c>
    </row>
    <row r="21">
      <c r="C21" s="64" t="n"/>
    </row>
    <row r="22">
      <c r="A22" s="58" t="inlineStr">
        <is>
          <t>【供給側の健康指標・ツリーの土台】</t>
        </is>
      </c>
      <c r="C22" s="64" t="n"/>
    </row>
    <row r="23" ht="28" customHeight="1" s="93">
      <c r="A23" t="inlineStr">
        <is>
          <t>稼働店舗数〔KPI6〕</t>
        </is>
      </c>
      <c r="B23" t="inlineStr">
        <is>
          <t>5月: 12/54店</t>
        </is>
      </c>
      <c r="C23" s="64" t="inlineStr">
        <is>
          <t>当月予約1件以上の店舗数。減少はAnyca型供給崩壊の早期警報（在庫表示率66%とセット監視）</t>
        </is>
      </c>
    </row>
    <row r="24">
      <c r="C24" s="64" t="n"/>
    </row>
    <row r="25">
      <c r="A25" s="58" t="inlineStr">
        <is>
          <t>【将来の第2柱・未稼働】</t>
        </is>
      </c>
      <c r="C25" s="64" t="n"/>
    </row>
    <row r="26">
      <c r="A26" t="inlineStr">
        <is>
          <t>物販送客収益 = 完了予約 × 購入相談率 × 成約率 × 送客フィー</t>
        </is>
      </c>
      <c r="B26" t="inlineStr">
        <is>
          <t>¥0</t>
        </is>
      </c>
      <c r="C26" s="64" t="inlineStr">
        <is>
          <t>送客フィー¥9,000〜15,000/台 = レンタル6〜10件分</t>
        </is>
      </c>
    </row>
    <row r="28">
      <c r="A28" s="32" t="inlineStr">
        <is>
          <t>■ ノード別: 計測手段と対応する施策</t>
        </is>
      </c>
    </row>
    <row r="29">
      <c r="A29" s="28" t="inlineStr">
        <is>
          <t>ノード</t>
        </is>
      </c>
      <c r="B29" s="28" t="inlineStr">
        <is>
          <t>現在値（2026-05）</t>
        </is>
      </c>
      <c r="C29" s="28" t="inlineStr">
        <is>
          <t>計測手段 / 動かす施策</t>
        </is>
      </c>
    </row>
    <row r="30" ht="28" customHeight="1" s="93">
      <c r="A30" s="38" t="inlineStr">
        <is>
          <t>回収率 ★1 / KSF1</t>
        </is>
      </c>
      <c r="B30" s="38" t="inlineStr">
        <is>
          <t>4%（Pay.jp分のみ）</t>
        </is>
      </c>
      <c r="C30" s="37" t="inlineStr">
        <is>
          <t>（Pay.jp入金+銀行振込）vs DB手数料 ／ 現場キャッシュレス・クレジット1本化（紙請求の突合は不要と判断・6/12）</t>
        </is>
      </c>
    </row>
    <row r="31" ht="28" customHeight="1" s="93">
      <c r="A31" s="38" t="inlineStr">
        <is>
          <t>セッション数 ★2 / KSF2</t>
        </is>
      </c>
      <c r="B31" s="38" t="inlineStr">
        <is>
          <t>約700IP/月</t>
        </is>
      </c>
      <c r="C31" s="37" t="inlineStr">
        <is>
          <t>GA4「ユーザー数」（Phase 1・自動） ／ SEO Phase 1 → SEO LP → GBP → OTA → 広告スモークテスト</t>
        </is>
      </c>
    </row>
    <row r="32" ht="28" customHeight="1" s="93">
      <c r="A32" s="38" t="inlineStr">
        <is>
          <t>流入チャネル内訳</t>
        </is>
      </c>
      <c r="B32" s="38" t="inlineStr">
        <is>
          <t>未計測</t>
        </is>
      </c>
      <c r="C32" s="37" t="inlineStr">
        <is>
          <t>GA4 参照元/メディア ／ GA4設置が前提。PR TIMES配信の流入効果の計測にも使う（2月スパイクの正体=初配信と6/12判明）</t>
        </is>
      </c>
    </row>
    <row r="33" ht="28" customHeight="1" s="93">
      <c r="A33" s="38" t="inlineStr">
        <is>
          <t>予約CVR / KSF4</t>
        </is>
      </c>
      <c r="B33" s="38" t="inlineStr">
        <is>
          <t>約4%</t>
        </is>
      </c>
      <c r="C33" s="37" t="inlineStr">
        <is>
          <t>GA4「予約完了」CV÷セッション ／ Tier 1 UI群（検索バー・空き表示・料金明示・キャンセルポリシー）。回収率と流入が先</t>
        </is>
      </c>
    </row>
    <row r="34">
      <c r="A34" s="38" t="inlineStr">
        <is>
          <t>予約フロー離脱点</t>
        </is>
      </c>
      <c r="B34" s="38" t="inlineStr">
        <is>
          <t>未計測</t>
        </is>
      </c>
      <c r="C34" s="37" t="inlineStr">
        <is>
          <t>GA4「予約フローStep別」（Phase 2） ／ フォーム8項目以下・ゲスト予約</t>
        </is>
      </c>
    </row>
    <row r="35" ht="28" customHeight="1" s="93">
      <c r="A35" s="38" t="inlineStr">
        <is>
          <t>キャンセル率</t>
        </is>
      </c>
      <c r="B35" s="38" t="inlineStr">
        <is>
          <t>23%</t>
        </is>
      </c>
      <c r="C35" s="37" t="inlineStr">
        <is>
          <t>DB予約ステータス ／ 雨は無料・それ以外は課金+50円オーソリの設計へ（6/12方針一致）</t>
        </is>
      </c>
    </row>
    <row r="36">
      <c r="A36" s="38" t="inlineStr">
        <is>
          <t>平均予約単価</t>
        </is>
      </c>
      <c r="B36" s="38" t="inlineStr">
        <is>
          <t>約¥10,200</t>
        </is>
      </c>
      <c r="C36" s="37" t="inlineStr">
        <is>
          <t>DB（手数料÷15%） ／ 複数日・複数台レコメンド、E-Bike（在庫79台）の露出強化</t>
        </is>
      </c>
    </row>
    <row r="37">
      <c r="A37" s="38" t="inlineStr">
        <is>
          <t>手数料率</t>
        </is>
      </c>
      <c r="B37" s="38" t="inlineStr">
        <is>
          <t>15%</t>
        </is>
      </c>
      <c r="C37" s="37" t="inlineStr">
        <is>
          <t>DB・Pay.jp照合済み ／ 触らない（店舗負担が既に上限）</t>
        </is>
      </c>
    </row>
    <row r="38">
      <c r="A38" s="38" t="inlineStr">
        <is>
          <t>購入相談率</t>
        </is>
      </c>
      <c r="B38" s="38" t="inlineStr">
        <is>
          <t>未計測</t>
        </is>
      </c>
      <c r="C38" s="37" t="inlineStr">
        <is>
          <t>GA4「購入相談クリック」（Phase 3） ／ 試乗履歴つき購入相談予約（T3-5）</t>
        </is>
      </c>
    </row>
    <row r="39" ht="28" customHeight="1" s="93">
      <c r="A39" s="38" t="inlineStr">
        <is>
          <t>稼働店舗数 / KSF3</t>
        </is>
      </c>
      <c r="B39" s="38" t="inlineStr">
        <is>
          <t>12/54店</t>
        </is>
      </c>
      <c r="C39" s="37" t="inlineStr">
        <is>
          <t>DB予約の店舗ユニーク数/月 ／ 月次送客レポートメール先行実装・予約ゼロ店舗ヒアリング</t>
        </is>
      </c>
    </row>
    <row r="40" ht="28" customHeight="1" s="93">
      <c r="A40" s="38" t="inlineStr">
        <is>
          <t>店舗の在庫表示率</t>
        </is>
      </c>
      <c r="B40" s="38" t="inlineStr">
        <is>
          <t>66%（非表示125/369台）</t>
        </is>
      </c>
      <c r="C40" s="37" t="inlineStr">
        <is>
          <t>DB貸出ステータス ／ ヒアリングで非表示理由を確認→表示化サポート。供給側の即効打</t>
        </is>
      </c>
    </row>
    <row r="42">
      <c r="A42" s="32" t="inlineStr">
        <is>
          <t>■ 読み方: 今どこから手をつけるか</t>
        </is>
      </c>
    </row>
    <row r="43" ht="28" customHeight="1" s="93">
      <c r="A43" s="103" t="inlineStr">
        <is>
          <t>1. 入金の見える化（★1/KSF1）が最優先 — 回収自体は紙請求でできている（15%請求と思われる・6/12確認、突合は不要と判断）。カード1本化が実現すれば入金は全てシステム内で捕捉される</t>
        </is>
      </c>
    </row>
    <row r="44" ht="28" customHeight="1" s="93">
      <c r="A44" s="103" t="inlineStr">
        <is>
          <t>2. セッション数（★2/KSF2）が次 — CVR4%は健全なので流入を増やせば予約はほぼ比例。SEO Phase 1（無料・半日）から着火</t>
        </is>
      </c>
    </row>
    <row r="45" ht="28" customHeight="1" s="93">
      <c r="A45" s="103" t="inlineStr">
        <is>
          <t>3. CVR改善（UI群/KSF4）はGA4で離脱点が見えてから — 勘で作らない</t>
        </is>
      </c>
    </row>
    <row r="46" ht="28" customHeight="1" s="93">
      <c r="A46" s="103" t="inlineStr">
        <is>
          <t>4. 稼働店舗数（KSF3）は守り — 月次送客レポートで「待つ価値」を見せ続け、減少が始まったら最優先で対処</t>
        </is>
      </c>
    </row>
    <row r="47" ht="28" customHeight="1" s="93">
      <c r="A47" s="103" t="inlineStr">
        <is>
          <t>5. 物販送客は予約数が伸びてから効く第2柱 — 今は「購入相談クリック」の計測準備だけ仕込む</t>
        </is>
      </c>
    </row>
  </sheetData>
  <mergeCells count="6">
    <mergeCell ref="A44:C44"/>
    <mergeCell ref="A47:C47"/>
    <mergeCell ref="A45:C45"/>
    <mergeCell ref="A46:C46"/>
    <mergeCell ref="A3:C3"/>
    <mergeCell ref="A43:C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topLeftCell="A4" zoomScale="140" zoomScaleNormal="140" workbookViewId="0">
      <selection activeCell="A29" sqref="A29:G29"/>
    </sheetView>
  </sheetViews>
  <sheetFormatPr baseColWidth="10" defaultColWidth="8.83203125" defaultRowHeight="14"/>
  <cols>
    <col width="34" customWidth="1" style="93" min="1" max="1"/>
    <col width="13" customWidth="1" style="93" min="2" max="7"/>
    <col width="60" customWidth="1" style="93" min="8" max="8"/>
  </cols>
  <sheetData>
    <row r="1" ht="16" customHeight="1" s="93">
      <c r="A1" s="31" t="inlineStr">
        <is>
          <t>KPI計画（参考・凍結中 — 2026-06-12方針: 目標設定はユーザー増・差別化実装・UI/UX改善後に再開）</t>
        </is>
      </c>
    </row>
    <row r="2">
      <c r="A2" s="30" t="inlineStr">
        <is>
          <t>黄色=前提 / 青=自動計算。このシートの試算は残してあるが、目標としての合意・運用はしていない。再開時に前提を実績で引き直して使う</t>
        </is>
      </c>
    </row>
    <row r="4">
      <c r="A4" s="58" t="inlineStr">
        <is>
          <t>■ 前提</t>
        </is>
      </c>
    </row>
    <row r="5">
      <c r="A5" s="38" t="inlineStr">
        <is>
          <t>月次成長率（完了予約）</t>
        </is>
      </c>
      <c r="B5" s="59" t="n">
        <v>0.2</v>
      </c>
      <c r="C5" s="60" t="inlineStr">
        <is>
          <t>実績は2ヶ月で倍（≒月+41%）。保守的に+20%で設定</t>
        </is>
      </c>
    </row>
    <row r="6">
      <c r="A6" s="38" t="inlineStr">
        <is>
          <t>完了÷実予約（キャンセル等を引いた率）</t>
        </is>
      </c>
      <c r="B6" s="59" t="n">
        <v>0.75</v>
      </c>
      <c r="C6" s="60" t="inlineStr">
        <is>
          <t>実績: 5月 21/28 = 75%</t>
        </is>
      </c>
    </row>
    <row r="7">
      <c r="A7" s="38" t="inlineStr">
        <is>
          <t>予約CVR（実予約÷セッション）</t>
        </is>
      </c>
      <c r="B7" s="123" t="n">
        <v>0.04</v>
      </c>
      <c r="C7" s="60" t="inlineStr">
        <is>
          <t>実績: 5月 約4%</t>
        </is>
      </c>
    </row>
    <row r="8">
      <c r="A8" s="38" t="inlineStr">
        <is>
          <t>取り分/件</t>
        </is>
      </c>
      <c r="B8" s="124" t="n">
        <v>1530</v>
      </c>
      <c r="C8" s="60" t="inlineStr">
        <is>
          <t>実績: 4〜5月の手数料平均</t>
        </is>
      </c>
    </row>
    <row r="9">
      <c r="A9" s="38" t="inlineStr">
        <is>
          <t>6月の完了予約 見込み</t>
        </is>
      </c>
      <c r="B9" s="125" t="n">
        <v>26</v>
      </c>
      <c r="C9" s="60" t="inlineStr">
        <is>
          <t>6/11時点で4件完了+来客待ち。5月21件×1.2で仮置き</t>
        </is>
      </c>
    </row>
    <row r="10">
      <c r="A10" t="inlineStr">
        <is>
          <t>人件費の想定額（中間目標の判定用）</t>
        </is>
      </c>
      <c r="B10" s="126" t="n">
        <v>60000</v>
      </c>
      <c r="C10" s="127" t="inlineStr">
        <is>
          <t>当初仮置きしていた月6万円を中間目標のラインに再利用。実際に給与計上を始めたら「コスト棚卸し」に記入し、ここはその金額に合わせる</t>
        </is>
      </c>
    </row>
    <row r="12">
      <c r="A12" s="58" t="inlineStr">
        <is>
          <t>■ 月次計画（7月〜12月）</t>
        </is>
      </c>
    </row>
    <row r="13">
      <c r="A13" s="28" t="inlineStr">
        <is>
          <t>指標</t>
        </is>
      </c>
      <c r="B13" s="28" t="inlineStr">
        <is>
          <t>2026-07</t>
        </is>
      </c>
      <c r="C13" s="28" t="inlineStr">
        <is>
          <t>2026-08</t>
        </is>
      </c>
      <c r="D13" s="28" t="inlineStr">
        <is>
          <t>2026-09</t>
        </is>
      </c>
      <c r="E13" s="28" t="inlineStr">
        <is>
          <t>2026-10</t>
        </is>
      </c>
      <c r="F13" s="28" t="inlineStr">
        <is>
          <t>2026-11</t>
        </is>
      </c>
      <c r="G13" s="28" t="inlineStr">
        <is>
          <t>2026-12</t>
        </is>
      </c>
    </row>
    <row r="14">
      <c r="A14" s="38" t="inlineStr">
        <is>
          <t>完了予約数〔KPI1〕</t>
        </is>
      </c>
      <c r="B14" s="128">
        <f>ROUND($B$9*(1+$B$5),0)</f>
        <v/>
      </c>
      <c r="C14" s="128">
        <f>ROUND(B14*(1+$B$5),0)</f>
        <v/>
      </c>
      <c r="D14" s="128">
        <f>ROUND(C14*(1+$B$5),0)</f>
        <v/>
      </c>
      <c r="E14" s="128">
        <f>ROUND(D14*(1+$B$5),0)</f>
        <v/>
      </c>
      <c r="F14" s="128">
        <f>ROUND(E14*(1+$B$5),0)</f>
        <v/>
      </c>
      <c r="G14" s="128">
        <f>ROUND(F14*(1+$B$5),0)</f>
        <v/>
      </c>
    </row>
    <row r="15">
      <c r="A15" s="38" t="inlineStr">
        <is>
          <t>実予約数（完了÷75%）</t>
        </is>
      </c>
      <c r="B15" s="128">
        <f>B14/$B$6</f>
        <v/>
      </c>
      <c r="C15" s="128">
        <f>C14/$B$6</f>
        <v/>
      </c>
      <c r="D15" s="128">
        <f>D14/$B$6</f>
        <v/>
      </c>
      <c r="E15" s="128">
        <f>E14/$B$6</f>
        <v/>
      </c>
      <c r="F15" s="128">
        <f>F14/$B$6</f>
        <v/>
      </c>
      <c r="G15" s="128">
        <f>G14/$B$6</f>
        <v/>
      </c>
    </row>
    <row r="16">
      <c r="A16" s="38" t="inlineStr">
        <is>
          <t>必要セッション数〔KPI3〕</t>
        </is>
      </c>
      <c r="B16" s="49">
        <f>ROUND(B15/$B$7,0)</f>
        <v/>
      </c>
      <c r="C16" s="49">
        <f>ROUND(C15/$B$7,0)</f>
        <v/>
      </c>
      <c r="D16" s="49">
        <f>ROUND(D15/$B$7,0)</f>
        <v/>
      </c>
      <c r="E16" s="49">
        <f>ROUND(E15/$B$7,0)</f>
        <v/>
      </c>
      <c r="F16" s="49">
        <f>ROUND(F15/$B$7,0)</f>
        <v/>
      </c>
      <c r="G16" s="49">
        <f>ROUND(G15/$B$7,0)</f>
        <v/>
      </c>
    </row>
    <row r="17">
      <c r="A17" s="38" t="inlineStr">
        <is>
          <t>うちOrganic Search（目安・手置き）〔KPI4〕</t>
        </is>
      </c>
      <c r="B17" s="50" t="n">
        <v>30</v>
      </c>
      <c r="C17" s="50" t="n">
        <v>60</v>
      </c>
      <c r="D17" s="50" t="n">
        <v>120</v>
      </c>
      <c r="E17" s="50" t="n">
        <v>250</v>
      </c>
      <c r="F17" s="50" t="n">
        <v>400</v>
      </c>
      <c r="G17" s="50" t="n">
        <v>600</v>
      </c>
    </row>
    <row r="18">
      <c r="A18" s="38" t="inlineStr">
        <is>
          <t>回収率〔KPI2〕</t>
        </is>
      </c>
      <c r="B18" s="59" t="n">
        <v>0.5</v>
      </c>
      <c r="C18" s="59" t="n">
        <v>1</v>
      </c>
      <c r="D18" s="59" t="n">
        <v>1</v>
      </c>
      <c r="E18" s="59" t="n">
        <v>1</v>
      </c>
      <c r="F18" s="59" t="n">
        <v>1</v>
      </c>
      <c r="G18" s="59" t="n">
        <v>1</v>
      </c>
      <c r="H18" s="60" t="inlineStr">
        <is>
          <t>この行は「入金をPay.jp+銀行振込で捕捉できる率」（6/12更新・詳細は下の✅注記）</t>
        </is>
      </c>
    </row>
    <row r="19">
      <c r="A19" s="29" t="inlineStr">
        <is>
          <t>【KGI】月間実入金</t>
        </is>
      </c>
      <c r="B19" s="129">
        <f>B14*$B$8*B18</f>
        <v/>
      </c>
      <c r="C19" s="129">
        <f>C14*$B$8*C18</f>
        <v/>
      </c>
      <c r="D19" s="129">
        <f>D14*$B$8*D18</f>
        <v/>
      </c>
      <c r="E19" s="129">
        <f>E14*$B$8*E18</f>
        <v/>
      </c>
      <c r="F19" s="129">
        <f>F14*$B$8*F18</f>
        <v/>
      </c>
      <c r="G19" s="129">
        <f>G14*$B$8*G18</f>
        <v/>
      </c>
    </row>
    <row r="20">
      <c r="A20" s="38" t="inlineStr">
        <is>
          <t>（参考）GMV</t>
        </is>
      </c>
      <c r="B20" s="130">
        <f>B14*$B$8/0.15</f>
        <v/>
      </c>
      <c r="C20" s="130">
        <f>C14*$B$8/0.15</f>
        <v/>
      </c>
      <c r="D20" s="130">
        <f>D14*$B$8/0.15</f>
        <v/>
      </c>
      <c r="E20" s="130">
        <f>E14*$B$8/0.15</f>
        <v/>
      </c>
      <c r="F20" s="130">
        <f>F14*$B$8/0.15</f>
        <v/>
      </c>
      <c r="G20" s="130">
        <f>G14*$B$8/0.15</f>
        <v/>
      </c>
    </row>
    <row r="21">
      <c r="A21" s="38" t="inlineStr">
        <is>
          <t>稼働店舗数〔KPI6〕</t>
        </is>
      </c>
      <c r="B21" s="131" t="n">
        <v>14</v>
      </c>
      <c r="C21" s="131" t="n">
        <v>16</v>
      </c>
      <c r="D21" s="131" t="n">
        <v>18</v>
      </c>
      <c r="E21" s="131" t="n">
        <v>20</v>
      </c>
      <c r="F21" s="131" t="n">
        <v>22</v>
      </c>
      <c r="G21" s="131" t="n">
        <v>25</v>
      </c>
    </row>
    <row r="23">
      <c r="A23" s="38" t="inlineStr">
        <is>
          <t>損益分岐ライン（コスト棚卸しの固定費合計）</t>
        </is>
      </c>
      <c r="B23" s="130">
        <f>コスト棚卸し!$C$13</f>
        <v/>
      </c>
      <c r="C23" s="130">
        <f>コスト棚卸し!$C$13</f>
        <v/>
      </c>
      <c r="D23" s="130">
        <f>コスト棚卸し!$C$13</f>
        <v/>
      </c>
      <c r="E23" s="130">
        <f>コスト棚卸し!$C$13</f>
        <v/>
      </c>
      <c r="F23" s="130">
        <f>コスト棚卸し!$C$13</f>
        <v/>
      </c>
      <c r="G23" s="130">
        <f>コスト棚卸し!$C$13</f>
        <v/>
      </c>
    </row>
    <row r="24">
      <c r="A24" s="38" t="inlineStr">
        <is>
          <t>判定（実入金≧現状固定費？）※無給前提の固定費¥18,300なので7月からクリアする形式的なライン</t>
        </is>
      </c>
      <c r="B24" s="62">
        <f>IF(B19&gt;=B23,"クリア","")</f>
        <v/>
      </c>
      <c r="C24" s="62">
        <f>IF(C19&gt;=C23,"クリア","")</f>
        <v/>
      </c>
      <c r="D24" s="62">
        <f>IF(D19&gt;=D23,"クリア","")</f>
        <v/>
      </c>
      <c r="E24" s="62">
        <f>IF(E19&gt;=E23,"クリア","")</f>
        <v/>
      </c>
      <c r="F24" s="62">
        <f>IF(F19&gt;=F23,"クリア","")</f>
        <v/>
      </c>
      <c r="G24" s="62">
        <f>IF(G19&gt;=G23,"クリア","")</f>
        <v/>
      </c>
    </row>
    <row r="25">
      <c r="A25" t="inlineStr">
        <is>
          <t>判定（人件費を計上しても黒字？）= 中間目標。実入金 ≧ 固定費+人件費想定</t>
        </is>
      </c>
      <c r="B25">
        <f>IF(B19&gt;=B23+$B$10,"クリア","")</f>
        <v/>
      </c>
      <c r="C25">
        <f>IF(C19&gt;=C23+$B$10,"クリア","")</f>
        <v/>
      </c>
      <c r="D25">
        <f>IF(D19&gt;=D23+$B$10,"クリア","")</f>
        <v/>
      </c>
      <c r="E25">
        <f>IF(E19&gt;=E23+$B$10,"クリア","")</f>
        <v/>
      </c>
      <c r="F25">
        <f>IF(F19&gt;=F23+$B$10,"クリア","")</f>
        <v/>
      </c>
      <c r="G25">
        <f>IF(G19&gt;=G23+$B$10,"クリア","")</f>
        <v/>
      </c>
    </row>
    <row r="26">
      <c r="A26" s="58" t="inlineStr">
        <is>
          <t>■ KGI案の言葉での要約</t>
        </is>
      </c>
    </row>
    <row r="27" ht="45" customHeight="1" s="93">
      <c r="A27" s="103" t="inlineStr">
        <is>
          <t>「2026年12月に月間実入金¥120,000（中間マイルストーン: 10月に人件費を計上しても黒字 = 実入金が固定費+人件費想定6万円の約¥78,000を超える）」。前提は保守的成長+20%/月と8月からの捕捉率100%（紙請求分含む）。6/12に固定費がほぼゼロ（無給）と判明したため、素の損益分岐は7月にクリアしてしまい中間目標にならない → 人件費込みラインを中間目標とする。クライアントと協議の上、成長率・捕捉開始月・人件費想定のセル（黄色）を直して確定させる。確定後はこの数字がKPI進捗シートの目標に自動で入る。なお開発委託費（準委任・月稼働約100万円）は投資として別枠管理 — これを含めた全体の持ち出しはコスト棚卸しシートの参考行を参照</t>
        </is>
      </c>
    </row>
    <row r="29" ht="40" customHeight="1" s="93">
      <c r="A29" s="105" t="inlineStr">
        <is>
          <t>⚠ クライアントと目標を確定したら: KPI進捗シートの目標列（計画へのリンク）をコピー→「値として貼り付け」で固定すること。固定後はこのシートをいじっても過去の目標は動かなくなる（このシートは来期計画の検討用として残す）</t>
        </is>
      </c>
    </row>
    <row r="31" ht="55" customHeight="1" s="93">
      <c r="A31" s="105" t="inlineStr">
        <is>
          <t>✅ 確認#1は回答済み（6/12）: 店頭決済分は紙請求で回収できている（15%で請求していたと思われる・突合は不要と判断）→ KGIの「実入金」定義は「Pay.jp入金+銀行振込（紙請求）」。回収率の行は「請求・入金の捕捉率」として運用（カードオンリー化が実現すれば自動的に100%）。※目標設定自体は凍結中</t>
        </is>
      </c>
    </row>
  </sheetData>
  <mergeCells count="3">
    <mergeCell ref="A27:G27"/>
    <mergeCell ref="A31:G31"/>
    <mergeCell ref="A29:G29"/>
  </mergeCells>
  <conditionalFormatting sqref="B24:G24">
    <cfRule type="cellIs" priority="1" operator="equal" dxfId="2">
      <formula>"クリア"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2"/>
  <sheetViews>
    <sheetView zoomScale="140" zoomScaleNormal="140" workbookViewId="0">
      <selection activeCell="B23" sqref="B23:H23"/>
    </sheetView>
  </sheetViews>
  <sheetFormatPr baseColWidth="10" defaultColWidth="8.83203125" defaultRowHeight="14"/>
  <cols>
    <col width="30" customWidth="1" style="93" min="1" max="1"/>
    <col width="34" customWidth="1" style="93" min="2" max="2"/>
    <col width="30" customWidth="1" style="93" min="3" max="3"/>
    <col width="14" customWidth="1" style="93" min="4" max="4"/>
    <col width="12" customWidth="1" style="93" min="5" max="6"/>
    <col width="10" customWidth="1" style="93" min="7" max="7"/>
    <col width="12" customWidth="1" style="93" min="8" max="9"/>
    <col width="10" customWidth="1" style="93" min="10" max="10"/>
  </cols>
  <sheetData>
    <row r="1" ht="16" customHeight="1" s="93">
      <c r="A1" s="31" t="inlineStr">
        <is>
          <t>KPI進捗管理</t>
        </is>
      </c>
    </row>
    <row r="2">
      <c r="A2" s="30" t="inlineStr">
        <is>
          <t>月1回、実績列だけ更新（DBエクスポート+Pay.jp、所要15分）。目標・達成率の運用は凍結中（2026-06-12方針）— 再開時にKPI計画から目標を反映する</t>
        </is>
      </c>
    </row>
    <row r="3">
      <c r="E3" s="35" t="inlineStr">
        <is>
          <t>※6月は6/11時点</t>
        </is>
      </c>
    </row>
    <row r="4">
      <c r="A4" s="107" t="inlineStr">
        <is>
          <t>指標</t>
        </is>
      </c>
      <c r="B4" s="107" t="inlineStr">
        <is>
          <t>毎月どこから取るか</t>
        </is>
      </c>
      <c r="C4" s="107" t="inlineStr">
        <is>
          <t>2026-05 実績</t>
        </is>
      </c>
      <c r="D4" s="107" t="inlineStr">
        <is>
          <t>2026-06 実績</t>
        </is>
      </c>
      <c r="E4" s="107" t="inlineStr">
        <is>
          <t>2026-07</t>
        </is>
      </c>
      <c r="F4" s="96" t="n"/>
      <c r="G4" s="97" t="n"/>
      <c r="H4" s="107" t="inlineStr">
        <is>
          <t>2026-08</t>
        </is>
      </c>
      <c r="I4" s="96" t="n"/>
      <c r="J4" s="97" t="n"/>
    </row>
    <row r="5">
      <c r="A5" s="108" t="n"/>
      <c r="B5" s="108" t="n"/>
      <c r="C5" s="108" t="n"/>
      <c r="D5" s="108" t="n"/>
      <c r="E5" s="36" t="inlineStr">
        <is>
          <t>目標</t>
        </is>
      </c>
      <c r="F5" s="36" t="inlineStr">
        <is>
          <t>実績</t>
        </is>
      </c>
      <c r="G5" s="36" t="inlineStr">
        <is>
          <t>達成率</t>
        </is>
      </c>
      <c r="H5" s="36" t="inlineStr">
        <is>
          <t>目標</t>
        </is>
      </c>
      <c r="I5" s="36" t="inlineStr">
        <is>
          <t>実績</t>
        </is>
      </c>
      <c r="J5" s="36" t="inlineStr">
        <is>
          <t>達成率</t>
        </is>
      </c>
    </row>
    <row r="6" ht="28" customHeight="1" s="93">
      <c r="A6" s="29" t="inlineStr">
        <is>
          <t>【KGI】月間手数料収益（実入金）</t>
        </is>
      </c>
      <c r="B6" s="37" t="inlineStr">
        <is>
          <t>Pay.jp入金一覧の当月内訳 + 銀行振込（紙請求）の入金額（6/12更新）</t>
        </is>
      </c>
      <c r="C6" s="130" t="n">
        <v>1320</v>
      </c>
      <c r="D6" s="130" t="inlineStr">
        <is>
          <t>—</t>
        </is>
      </c>
      <c r="E6" s="124" t="n"/>
      <c r="F6" s="130">
        <f>KPI計画!B19</f>
        <v/>
      </c>
      <c r="G6" s="42">
        <f>IF(OR(E6="",F6=""),"",F6/E6)</f>
        <v/>
      </c>
      <c r="H6" s="130">
        <f>KPI計画!C19</f>
        <v/>
      </c>
      <c r="I6" s="132" t="n"/>
      <c r="J6" s="42">
        <f>IF(OR(H6="",I6=""),"",I6/H6)</f>
        <v/>
      </c>
    </row>
    <row r="7">
      <c r="A7" s="38" t="inlineStr">
        <is>
          <t>KPI1 完了予約数</t>
        </is>
      </c>
      <c r="B7" s="37" t="inlineStr">
        <is>
          <t>reserve.csv（ステータス=返却済み）</t>
        </is>
      </c>
      <c r="C7" s="128" t="n">
        <v>21</v>
      </c>
      <c r="D7" s="128" t="n">
        <v>4</v>
      </c>
      <c r="E7" s="125" t="n"/>
      <c r="F7" s="128">
        <f>KPI計画!B14</f>
        <v/>
      </c>
      <c r="G7" s="42">
        <f>IF(OR(E7="",F7=""),"",F7/E7)</f>
        <v/>
      </c>
      <c r="H7" s="128">
        <f>KPI計画!C14</f>
        <v/>
      </c>
      <c r="I7" s="133" t="n"/>
      <c r="J7" s="42">
        <f>IF(OR(H7="",I7=""),"",I7/H7)</f>
        <v/>
      </c>
    </row>
    <row r="8" ht="28" customHeight="1" s="93">
      <c r="A8" s="38" t="inlineStr">
        <is>
          <t>KPI2 回収率（実入金÷手数料記録）</t>
        </is>
      </c>
      <c r="B8" s="37" t="inlineStr">
        <is>
          <t>（Pay.jp入金+銀行振込）÷ reserve.csvの手数料合計（6/12更新: 紙請求分を含める）</t>
        </is>
      </c>
      <c r="C8" s="134" t="n">
        <v>0.0410252585057482</v>
      </c>
      <c r="D8" s="134" t="inlineStr">
        <is>
          <t>—</t>
        </is>
      </c>
      <c r="E8" s="123" t="n"/>
      <c r="F8" s="134">
        <f>KPI計画!B18</f>
        <v/>
      </c>
      <c r="G8" s="42">
        <f>IF(OR(E8="",F8=""),"",F8/E8)</f>
        <v/>
      </c>
      <c r="H8" s="134">
        <f>KPI計画!C18</f>
        <v/>
      </c>
      <c r="I8" s="135" t="n"/>
      <c r="J8" s="42">
        <f>IF(OR(H8="",I8=""),"",I8/H8)</f>
        <v/>
      </c>
    </row>
    <row r="9" ht="28" customHeight="1" s="93">
      <c r="A9" s="38" t="inlineStr">
        <is>
          <t>KPI3 月間セッション</t>
        </is>
      </c>
      <c r="B9" s="37" t="inlineStr">
        <is>
          <t>access-logs.csvのユニークIP → GA4設置後は「ユーザー数」</t>
        </is>
      </c>
      <c r="C9" s="49" t="n">
        <v>702</v>
      </c>
      <c r="D9" s="49" t="inlineStr">
        <is>
          <t>—</t>
        </is>
      </c>
      <c r="E9" s="50" t="n"/>
      <c r="F9" s="49">
        <f>KPI計画!B16</f>
        <v/>
      </c>
      <c r="G9" s="42">
        <f>IF(OR(E9="",F9=""),"",F9/E9)</f>
        <v/>
      </c>
      <c r="H9" s="49">
        <f>KPI計画!C16</f>
        <v/>
      </c>
      <c r="I9" s="51" t="n"/>
      <c r="J9" s="42">
        <f>IF(OR(H9="",I9=""),"",I9/H9)</f>
        <v/>
      </c>
    </row>
    <row r="10">
      <c r="A10" s="38" t="inlineStr">
        <is>
          <t>KPI4 Organic Search流入</t>
        </is>
      </c>
      <c r="B10" s="37" t="inlineStr">
        <is>
          <t>GA4 集客レポート（Phase 1設置後に計測開始）</t>
        </is>
      </c>
      <c r="C10" s="49" t="inlineStr">
        <is>
          <t>—</t>
        </is>
      </c>
      <c r="D10" s="49" t="inlineStr">
        <is>
          <t>—</t>
        </is>
      </c>
      <c r="E10" s="50" t="n"/>
      <c r="F10" s="49">
        <f>KPI計画!B17</f>
        <v/>
      </c>
      <c r="G10" s="42">
        <f>IF(OR(E10="",F10=""),"",F10/E10)</f>
        <v/>
      </c>
      <c r="H10" s="49">
        <f>KPI計画!C17</f>
        <v/>
      </c>
      <c r="I10" s="51" t="n"/>
      <c r="J10" s="42">
        <f>IF(OR(H10="",I10=""),"",I10/H10)</f>
        <v/>
      </c>
    </row>
    <row r="11">
      <c r="A11" s="38" t="inlineStr">
        <is>
          <t>KPI5 予約CVR（実予約÷セッション）</t>
        </is>
      </c>
      <c r="B11" s="37" t="inlineStr">
        <is>
          <t>reserve.csv実予約 ÷ KPI3</t>
        </is>
      </c>
      <c r="C11" s="134" t="n">
        <v>0.03988603988603989</v>
      </c>
      <c r="D11" s="134" t="inlineStr">
        <is>
          <t>—</t>
        </is>
      </c>
      <c r="E11" s="123" t="n"/>
      <c r="F11" s="134" t="n">
        <v>0.04</v>
      </c>
      <c r="G11" s="42">
        <f>IF(OR(E11="",F11=""),"",F11/E11)</f>
        <v/>
      </c>
      <c r="H11" s="134" t="n">
        <v>0.04</v>
      </c>
      <c r="I11" s="135" t="n"/>
      <c r="J11" s="42">
        <f>IF(OR(H11="",I11=""),"",I11/H11)</f>
        <v/>
      </c>
    </row>
    <row r="12">
      <c r="A12" s="38" t="inlineStr">
        <is>
          <t>KPI6 稼働店舗数（当月予約あり）</t>
        </is>
      </c>
      <c r="B12" s="37" t="inlineStr">
        <is>
          <t>reserve.csvの店舗ユニーク数</t>
        </is>
      </c>
      <c r="C12" s="136" t="n">
        <v>12</v>
      </c>
      <c r="D12" s="136" t="n">
        <v>5</v>
      </c>
      <c r="E12" s="131" t="n"/>
      <c r="F12" s="136">
        <f>KPI計画!B21</f>
        <v/>
      </c>
      <c r="G12" s="42">
        <f>IF(OR(E12="",F12=""),"",F12/E12)</f>
        <v/>
      </c>
      <c r="H12" s="136">
        <f>KPI計画!C21</f>
        <v/>
      </c>
      <c r="I12" s="137" t="n"/>
      <c r="J12" s="42">
        <f>IF(OR(H12="",I12=""),"",I12/H12)</f>
        <v/>
      </c>
    </row>
    <row r="13">
      <c r="A13" s="38" t="inlineStr">
        <is>
          <t>（参考）GMV</t>
        </is>
      </c>
      <c r="B13" s="37" t="inlineStr">
        <is>
          <t>reserve.csv手数料合計 ÷ 15%</t>
        </is>
      </c>
      <c r="C13" s="130" t="n">
        <v>214502</v>
      </c>
      <c r="D13" s="130" t="n">
        <v>102750</v>
      </c>
      <c r="E13" s="124" t="n"/>
      <c r="F13" s="130">
        <f>KPI計画!B20</f>
        <v/>
      </c>
      <c r="G13" s="42">
        <f>IF(OR(E13="",F13=""),"",F13/E13)</f>
        <v/>
      </c>
      <c r="H13" s="130">
        <f>KPI計画!C20</f>
        <v/>
      </c>
      <c r="I13" s="132" t="n"/>
      <c r="J13" s="42">
        <f>IF(OR(H13="",I13=""),"",I13/H13)</f>
        <v/>
      </c>
    </row>
    <row r="14">
      <c r="A14" s="38" t="inlineStr">
        <is>
          <t>（参考）キャンセル率</t>
        </is>
      </c>
      <c r="B14" s="37" t="inlineStr">
        <is>
          <t>reserve.csv（キャンセル÷実予約）</t>
        </is>
      </c>
      <c r="C14" s="134" t="n">
        <v>0.1785714285714286</v>
      </c>
      <c r="D14" s="134" t="inlineStr">
        <is>
          <t>—</t>
        </is>
      </c>
      <c r="E14" s="123" t="n"/>
      <c r="F14" s="135" t="n"/>
      <c r="G14" s="42">
        <f>IF(OR(E14="",F14=""),"",F14/E14)</f>
        <v/>
      </c>
      <c r="H14" s="123" t="n"/>
      <c r="I14" s="135" t="n"/>
      <c r="J14" s="42">
        <f>IF(OR(H14="",I14=""),"",I14/H14)</f>
        <v/>
      </c>
    </row>
    <row r="15">
      <c r="A15" s="38" t="inlineStr">
        <is>
          <t>（参考）新規利用者登録</t>
        </is>
      </c>
      <c r="B15" s="37" t="inlineStr">
        <is>
          <t>users.csv（当月のCreation Date）</t>
        </is>
      </c>
      <c r="C15" s="138" t="n">
        <v>26</v>
      </c>
      <c r="D15" s="138" t="inlineStr">
        <is>
          <t>—</t>
        </is>
      </c>
      <c r="E15" s="139" t="n"/>
      <c r="F15" s="140" t="n"/>
      <c r="G15" s="42">
        <f>IF(OR(E15="",F15=""),"",F15/E15)</f>
        <v/>
      </c>
      <c r="H15" s="139" t="n"/>
      <c r="I15" s="140" t="n"/>
      <c r="J15" s="42">
        <f>IF(OR(H15="",I15=""),"",I15/H15)</f>
        <v/>
      </c>
    </row>
    <row r="17">
      <c r="A17" s="30" t="inlineStr">
        <is>
          <t>9月以降の列は8月の3列（目標/実績/達成率）をコピーして右に足す。KPI4はGA4設置後に「—」を実数に置き換える</t>
        </is>
      </c>
    </row>
    <row r="19">
      <c r="A19" s="32" t="inlineStr">
        <is>
          <t>■ なぜKGIが「月間手数料収益（実入金）」なのか</t>
        </is>
      </c>
    </row>
    <row r="20" ht="42" customHeight="1" s="93">
      <c r="A20" s="29" t="inlineStr">
        <is>
          <t>採用: 実入金</t>
        </is>
      </c>
      <c r="B20" s="106" t="inlineStr">
        <is>
          <t>実入金 = GMV × 手数料率15% × 回収率 の最終結果。今のRINCLEの2大ボトルネック（入金の捕捉率・流入700IP/月）の両方を改善しないと動かない数字なので、これを最終目標に置くと努力の漏れがなくなる</t>
        </is>
      </c>
      <c r="C20" s="96" t="n"/>
      <c r="D20" s="96" t="n"/>
      <c r="E20" s="96" t="n"/>
      <c r="F20" s="96" t="n"/>
      <c r="G20" s="96" t="n"/>
      <c r="H20" s="97" t="n"/>
    </row>
    <row r="21" ht="42" customHeight="1" s="93">
      <c r="A21" s="29" t="inlineStr">
        <is>
          <t>不採用: 完了予約数</t>
        </is>
      </c>
      <c r="B21" s="106" t="inlineStr">
        <is>
          <t>予約が増えても入金を捕捉できなければ手元の数字は増えない。実際Pay.jpだけ見ると8ヶ月で¥8,690に見え、紙請求の実態が把握できていなかった。KPI1として並走</t>
        </is>
      </c>
      <c r="C21" s="96" t="n"/>
      <c r="D21" s="96" t="n"/>
      <c r="E21" s="96" t="n"/>
      <c r="F21" s="96" t="n"/>
      <c r="G21" s="96" t="n"/>
      <c r="H21" s="97" t="n"/>
    </row>
    <row r="22" ht="42" customHeight="1" s="93">
      <c r="A22" s="29" t="inlineStr">
        <is>
          <t>不採用: GMV（流通総額）</t>
        </is>
      </c>
      <c r="B22" s="106" t="inlineStr">
        <is>
          <t>マーケットプレイスの定番指標だが「お客さんが払ったお金の合計」であって「RINCLEに入ったお金」ではない。回収問題がある今はKGIに不適。参考指標として並走</t>
        </is>
      </c>
      <c r="C22" s="96" t="n"/>
      <c r="D22" s="96" t="n"/>
      <c r="E22" s="96" t="n"/>
      <c r="F22" s="96" t="n"/>
      <c r="G22" s="96" t="n"/>
      <c r="H22" s="97" t="n"/>
    </row>
    <row r="23" ht="42" customHeight="1" s="93">
      <c r="A23" s="29" t="inlineStr">
        <is>
          <t>将来の見直し条件</t>
        </is>
      </c>
      <c r="B23" s="106" t="inlineStr">
        <is>
          <t>回収問題が解決して回収率が安定的に100%になったら、実入金はGMV×15%と同じ意味になる。その時点でKGIをGMVに切り替えてよい（プラットフォームの成長そのものを追う段階に移行）</t>
        </is>
      </c>
      <c r="C23" s="96" t="n"/>
      <c r="D23" s="96" t="n"/>
      <c r="E23" s="96" t="n"/>
      <c r="F23" s="96" t="n"/>
      <c r="G23" s="96" t="n"/>
      <c r="H23" s="97" t="n"/>
    </row>
    <row r="24">
      <c r="A24" s="30" t="inlineStr">
        <is>
          <t>決定日: 2026-06-11（候補3案の比較から選定）</t>
        </is>
      </c>
    </row>
    <row r="26">
      <c r="A26" s="32" t="inlineStr">
        <is>
          <t>■ KGI → KSF → KPI の対応（なぜこの6個を測るのか）</t>
        </is>
      </c>
    </row>
    <row r="27">
      <c r="A27" s="28" t="inlineStr">
        <is>
          <t>KSF（成功のカギ・言葉）</t>
        </is>
      </c>
      <c r="B27" s="28" t="inlineStr">
        <is>
          <t>なぜカギなのか</t>
        </is>
      </c>
      <c r="C27" s="28" t="inlineStr">
        <is>
          <t>測るKPI</t>
        </is>
      </c>
    </row>
    <row r="28" ht="48" customHeight="1" s="93">
      <c r="A28" s="63" t="inlineStr">
        <is>
          <t>KSF1: 手数料を確実に回収する仕組みを作る</t>
        </is>
      </c>
      <c r="B28" s="37" t="inlineStr">
        <is>
          <t>売上の88%（店頭決済分）が紙請求のシステム外回収でブラックボックス（6/12判明・回収自体はできている）。決済のシステム内化（カード1本化）で実入金の自動把握・自動回収を実現する</t>
        </is>
      </c>
      <c r="C28" s="25" t="inlineStr">
        <is>
          <t>KPI2 回収率</t>
        </is>
      </c>
    </row>
    <row r="29" ht="48" customHeight="1" s="93">
      <c r="A29" s="63" t="inlineStr">
        <is>
          <t>KSF2: サイトに人を連れてくる（SEO・店舗経由・OTA）</t>
        </is>
      </c>
      <c r="B29" s="37" t="inlineStr">
        <is>
          <t>CVR4%は健全なので、流入さえ増えれば予約はほぼ比例して増える構造。12月に必要なセッションは現在の3.7倍（2,567）</t>
        </is>
      </c>
      <c r="C29" s="25" t="inlineStr">
        <is>
          <t>KPI3 セッション / KPI4 Organic流入</t>
        </is>
      </c>
    </row>
    <row r="30" ht="48" customHeight="1" s="93">
      <c r="A30" s="63" t="inlineStr">
        <is>
          <t>KSF3: 店舗網を死なせない（待っている52店の維持・活性化）</t>
        </is>
      </c>
      <c r="B30" s="37" t="inlineStr">
        <is>
          <t>42店は当月予約ゼロが常態。離脱が始まると供給網ごと崩壊する（Anycaの教訓）。月次送客レポートと非表示在庫の解消で「待つ価値」を見せ続ける</t>
        </is>
      </c>
      <c r="C30" s="25" t="inlineStr">
        <is>
          <t>KPI6 稼働店舗数</t>
        </is>
      </c>
    </row>
    <row r="31" ht="48" customHeight="1" s="93">
      <c r="A31" s="63" t="inlineStr">
        <is>
          <t>KSF4: 予約体験の質を落とさない</t>
        </is>
      </c>
      <c r="B31" s="37" t="inlineStr">
        <is>
          <t>成長の前提条件。CVRが下がると流入を増やしても無駄になる（攻めではなく守りのKSF）</t>
        </is>
      </c>
      <c r="C31" s="25" t="inlineStr">
        <is>
          <t>KPI5 予約CVR / KPI1 完了予約数</t>
        </is>
      </c>
    </row>
    <row r="32">
      <c r="A32" s="30" t="inlineStr">
        <is>
          <t>※ KPI1（完了予約数）はKSF2〜4すべての結果として動く「結果指標」。KSFの詳しい分解は「KPIツリー」シートを参照</t>
        </is>
      </c>
    </row>
  </sheetData>
  <mergeCells count="10">
    <mergeCell ref="B22:H22"/>
    <mergeCell ref="B4:B5"/>
    <mergeCell ref="C4:C5"/>
    <mergeCell ref="A4:A5"/>
    <mergeCell ref="B21:H21"/>
    <mergeCell ref="D4:D5"/>
    <mergeCell ref="H4:J4"/>
    <mergeCell ref="E4:G4"/>
    <mergeCell ref="B20:H20"/>
    <mergeCell ref="B23:H23"/>
  </mergeCells>
  <conditionalFormatting sqref="G6:G15">
    <cfRule type="cellIs" priority="1" operator="greaterThanOrEqual" dxfId="2">
      <formula>1</formula>
    </cfRule>
    <cfRule type="cellIs" priority="2" operator="between" dxfId="1">
      <formula>0.7</formula>
      <formula>0.9999</formula>
    </cfRule>
    <cfRule type="cellIs" priority="3" operator="lessThan" dxfId="0">
      <formula>0.7</formula>
    </cfRule>
  </conditionalFormatting>
  <conditionalFormatting sqref="J6:J15">
    <cfRule type="cellIs" priority="4" operator="greaterThanOrEqual" dxfId="2">
      <formula>1</formula>
    </cfRule>
    <cfRule type="cellIs" priority="5" operator="between" dxfId="1">
      <formula>0.7</formula>
      <formula>0.9999</formula>
    </cfRule>
    <cfRule type="cellIs" priority="6" operator="lessThan" dxfId="0">
      <formula>0.7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zoomScale="140" zoomScaleNormal="140" workbookViewId="0">
      <selection activeCell="A1" sqref="A1"/>
    </sheetView>
  </sheetViews>
  <sheetFormatPr baseColWidth="10" defaultColWidth="8.83203125" defaultRowHeight="14"/>
  <cols>
    <col width="34" customWidth="1" style="93" min="1" max="1"/>
    <col width="30" customWidth="1" style="93" min="2" max="2"/>
    <col width="56" customWidth="1" style="93" min="3" max="3"/>
  </cols>
  <sheetData>
    <row r="1" ht="16" customHeight="1" s="93">
      <c r="A1" s="31" t="inlineStr">
        <is>
          <t>需給バランス（2026-06-11 全テーブル解析）</t>
        </is>
      </c>
    </row>
    <row r="2">
      <c r="A2" s="30" t="inlineStr">
        <is>
          <t>分析日: 2026-06-11（本番データ）。出典・検証経緯は「出典と経緯」シート参照</t>
        </is>
      </c>
    </row>
    <row r="4">
      <c r="A4" s="32" t="inlineStr">
        <is>
          <t>■ 供給側: 思ったより整っている</t>
        </is>
      </c>
    </row>
    <row r="5">
      <c r="A5" s="28" t="inlineStr">
        <is>
          <t>指標</t>
        </is>
      </c>
      <c r="B5" s="28" t="inlineStr">
        <is>
          <t>値</t>
        </is>
      </c>
      <c r="C5" s="28" t="inlineStr">
        <is>
          <t>備考</t>
        </is>
      </c>
    </row>
    <row r="6" ht="15" customHeight="1" s="93">
      <c r="A6" s="25" t="inlineStr">
        <is>
          <t>自転車登録</t>
        </is>
      </c>
      <c r="B6" s="25" t="inlineStr">
        <is>
          <t>369台</t>
        </is>
      </c>
      <c r="C6" s="25" t="inlineStr">
        <is>
          <t>ロード167 / ミニベロ103 / クロス74 / MTB20 / キッズ5。E-Bike 79台</t>
        </is>
      </c>
    </row>
    <row r="7" ht="15" customHeight="1" s="93">
      <c r="A7" s="25" t="inlineStr">
        <is>
          <t>自転車を登録済みの店舗</t>
        </is>
      </c>
      <c r="B7" s="25" t="inlineStr">
        <is>
          <t>50/54店</t>
        </is>
      </c>
      <c r="C7" s="25" t="inlineStr">
        <is>
          <t>ゼロは4店のみ（うち3店は店名に「準備中」明記）</t>
        </is>
      </c>
    </row>
    <row r="8" ht="15" customHeight="1" s="93">
      <c r="A8" s="25" t="inlineStr">
        <is>
          <t>Pay.jp審査通過（カード決済可）</t>
        </is>
      </c>
      <c r="B8" s="25" t="inlineStr">
        <is>
          <t>54/54店（全店）</t>
        </is>
      </c>
      <c r="C8" s="25" t="n"/>
    </row>
    <row r="9" ht="15" customHeight="1" s="93">
      <c r="A9" s="25" t="inlineStr">
        <is>
          <t>「ユーザー非表示」の自転車</t>
        </is>
      </c>
      <c r="B9" s="25" t="inlineStr">
        <is>
          <t>125台（34%）</t>
        </is>
      </c>
      <c r="C9" s="25" t="inlineStr">
        <is>
          <t>予約ゼロ店舗では在庫の52%が非表示。理由はヒアリングで確認</t>
        </is>
      </c>
    </row>
    <row r="11">
      <c r="A11" s="32" t="inlineStr">
        <is>
          <t>■ 需要側: 明確にここがボトルネック</t>
        </is>
      </c>
    </row>
    <row r="12">
      <c r="A12" s="28" t="inlineStr">
        <is>
          <t>指標</t>
        </is>
      </c>
      <c r="B12" s="28" t="inlineStr">
        <is>
          <t>値</t>
        </is>
      </c>
      <c r="C12" s="28" t="inlineStr">
        <is>
          <t>備考</t>
        </is>
      </c>
    </row>
    <row r="13" ht="15" customHeight="1" s="93">
      <c r="A13" s="25" t="inlineStr">
        <is>
          <t>利用者登録</t>
        </is>
      </c>
      <c r="B13" s="25" t="inlineStr">
        <is>
          <t>91人</t>
        </is>
      </c>
      <c r="C13" s="25" t="inlineStr">
        <is>
          <t>2月15 → 3月16 → 4月18 → 5月26人と加速中</t>
        </is>
      </c>
    </row>
    <row r="14" ht="15" customHeight="1" s="93">
      <c r="A14" s="25" t="inlineStr">
        <is>
          <t>サイトアクセス</t>
        </is>
      </c>
      <c r="B14" s="25" t="inlineStr">
        <is>
          <t>月2,300PV / 約700IP（2026-05）</t>
        </is>
      </c>
      <c r="C14" s="25" t="inlineStr">
        <is>
          <t>2026-02のスパイク（3,402PV/1,603IP）はPR TIMES初配信と判明（6/12）。再現可能な集客施策</t>
        </is>
      </c>
    </row>
    <row r="15" ht="15" customHeight="1" s="93">
      <c r="A15" s="25" t="inlineStr">
        <is>
          <t>粗いCVR</t>
        </is>
      </c>
      <c r="B15" s="25" t="inlineStr">
        <is>
          <t>約4%（700IP→実予約28件）</t>
        </is>
      </c>
      <c r="C15" s="25" t="inlineStr">
        <is>
          <t>悪くない水準。問題は分子より分母=流入量</t>
        </is>
      </c>
    </row>
    <row r="17">
      <c r="A17" s="32" t="inlineStr">
        <is>
          <t>■ 地理ミスマッチ: 予約は関西に偏在、在庫は全国に滞留</t>
        </is>
      </c>
    </row>
    <row r="18" ht="45" customHeight="1" s="93">
      <c r="A18" s="103" t="inlineStr">
        <is>
          <t>・予約上位5店はすべて関西圏（神戸17 / 尼崎12 / 京都7 / 箕面5 / 奈良5）。上位2店で全予約の41%</t>
        </is>
      </c>
    </row>
    <row r="19" ht="30" customHeight="1" s="93">
      <c r="A19" s="103" t="inlineStr">
        <is>
          <t>・予約ゼロで在庫最多: LORO横浜31台 / LORO尾道22台 / SPZ熊本18台</t>
        </is>
      </c>
    </row>
    <row r="20" ht="45" customHeight="1" s="93">
      <c r="A20" s="103" t="inlineStr">
        <is>
          <t>・しまなみ海道の玄関口・尾道で22台が予約ゼロ → 集客施策の地域優先順位を決める一次データ</t>
        </is>
      </c>
    </row>
    <row r="21" ht="30" customHeight="1" s="93">
      <c r="A21" s="103" t="inlineStr">
        <is>
          <t>・store_00XX@pedalstandard.com名義の店舗（運営社ドメイン）が4件 → 正体要確認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140" zoomScaleNormal="140" workbookViewId="0">
      <selection activeCell="D7" sqref="D7"/>
    </sheetView>
  </sheetViews>
  <sheetFormatPr baseColWidth="10" defaultColWidth="8.83203125" defaultRowHeight="14"/>
  <cols>
    <col width="6" customWidth="1" style="93" min="1" max="1"/>
    <col width="52" customWidth="1" style="93" min="2" max="2"/>
    <col width="48" customWidth="1" style="93" min="3" max="3"/>
    <col width="36" customWidth="1" style="93" min="4" max="4"/>
  </cols>
  <sheetData>
    <row r="1" ht="16" customHeight="1" s="93">
      <c r="A1" s="31" t="inlineStr">
        <is>
          <t>クライアント確認リスト（回答欄つき）</t>
        </is>
      </c>
    </row>
    <row r="2">
      <c r="A2" s="30" t="inlineStr">
        <is>
          <t>分析日: 2026-06-11（本番データ）。出典・検証経緯は「出典と経緯」シート参照</t>
        </is>
      </c>
    </row>
    <row r="4">
      <c r="A4" s="28" t="inlineStr">
        <is>
          <t>#</t>
        </is>
      </c>
      <c r="B4" s="28" t="inlineStr">
        <is>
          <t>確認事項</t>
        </is>
      </c>
      <c r="C4" s="28" t="inlineStr">
        <is>
          <t>分かると何が決まるか</t>
        </is>
      </c>
      <c r="D4" s="28" t="inlineStr">
        <is>
          <t>回答（記入欄）</t>
        </is>
      </c>
    </row>
    <row r="5" ht="60" customHeight="1" s="93">
      <c r="A5" s="25" t="n">
        <v>1</v>
      </c>
      <c r="B5" s="25" t="inlineStr">
        <is>
          <t>店頭決済の手数料、システム外（銀行振込等）で回収した実績はあるか</t>
        </is>
      </c>
      <c r="C5" s="25" t="inlineStr">
        <is>
          <t>実収入が¥8,690で全部かの最終確定。過去分¥76,150の扱いと回収方式の意思決定</t>
        </is>
      </c>
      <c r="D5" s="82" t="inlineStr">
        <is>
          <t>【回答あり・6/12】回収できている。15%を紙の請求書でシステム外請求（簡易運用・紙でも15%で請求していたと思われる）。突合は不要と判断（6/12）。今後は「運営が全額集約→手数料を引いて振込」+現場キャッシュレス（クレジット1本化）+店舗月額課金の方向で検討中</t>
        </is>
      </c>
    </row>
    <row r="6" ht="60" customHeight="1" s="93">
      <c r="A6" s="25" t="n">
        <v>2</v>
      </c>
      <c r="B6" s="25" t="inlineStr">
        <is>
          <t>キャンセル16件の理由内訳</t>
        </is>
      </c>
      <c r="C6" s="25" t="inlineStr">
        <is>
          <t>キャンセルポリシー施策のコスト試算</t>
        </is>
      </c>
      <c r="D6" s="82" t="inlineStr">
        <is>
          <t>【回答あり・6/12】天候 + 日程変更（キャンセル→別日再予約）が大半、一部不明。キャンセルポリシーは「弱い・強めにする必要」で増永さんも認識一致。雨以外は課金する方向で設計検討へ（50円オーソリでカード有効性チェック案が有力）</t>
        </is>
      </c>
    </row>
    <row r="7" ht="60" customHeight="1" s="93">
      <c r="A7" s="25" t="n">
        <v>3</v>
      </c>
      <c r="B7" s="25" t="inlineStr">
        <is>
          <t>運営の月額固定費（人件費・ツール）</t>
        </is>
      </c>
      <c r="C7" s="25" t="inlineStr">
        <is>
          <t>損益分岐ラインの確定（→コスト棚卸しシートに記入）</t>
        </is>
      </c>
      <c r="D7" s="82" t="inlineStr">
        <is>
          <t>【回答あり・6/12】ほぼかかっていない。運営は現在無給、システム系の費用（Bubble等）+開発委託のみ → コスト棚卸しに反映済み</t>
        </is>
      </c>
    </row>
    <row r="8" ht="60" customHeight="1" s="93">
      <c r="A8" s="25" t="n">
        <v>4</v>
      </c>
      <c r="B8" s="25" t="inlineStr">
        <is>
          <t>2026年2月のアクセス急増（3,402PV/1,603IP）の要因</t>
        </is>
      </c>
      <c r="C8" s="25" t="inlineStr">
        <is>
          <t>再現可能な集客施策かボットかの判別</t>
        </is>
      </c>
      <c r="D8" s="82" t="inlineStr">
        <is>
          <t>【回答あり・6/12】PR TIMES初配信だった（世の中に初めて出したタイミング、メディア掲載が連鎖）。再現可能 → 来週「50店舗突破」リリース配信予定、100店舗で専門誌+広告も計画</t>
        </is>
      </c>
    </row>
    <row r="9" ht="60" customHeight="1" s="93">
      <c r="A9" s="25" t="n">
        <v>5</v>
      </c>
      <c r="B9" s="25" t="inlineStr">
        <is>
          <t>リピート率（要: 乗車人情報テーブルのエクスポート）</t>
        </is>
      </c>
      <c r="C9" s="25" t="inlineStr">
        <is>
          <t>リピート率・アクティベーション率の初計測</t>
        </is>
      </c>
      <c r="D9" s="83" t="inlineStr">
        <is>
          <t>（6/12は時間切れで未依頼 → 来週のデータ認識合わせで依頼する）</t>
        </is>
      </c>
    </row>
    <row r="10" ht="60" customHeight="1" s="93">
      <c r="A10" s="25" t="n">
        <v>6</v>
      </c>
      <c r="B10" s="25" t="inlineStr">
        <is>
          <t>「100店舗」の出所</t>
        </is>
      </c>
      <c r="C10" s="25" t="inlineStr">
        <is>
          <t>店舗数・予約数の実態補正</t>
        </is>
      </c>
      <c r="D10" s="82" t="inlineStr">
        <is>
          <t>【回答あり・6/12】「100店舗」=営業ベースの見込み（実働50店+契約進行中+20店、営業済み120〜130店。数ヶ月で100到達見込み）。store_00XX名義は未確認のまま</t>
        </is>
      </c>
    </row>
    <row r="11" ht="60" customHeight="1" s="93">
      <c r="A11" s="25" t="n">
        <v>7</v>
      </c>
      <c r="B11" s="25" t="inlineStr">
        <is>
          <t>対外的な店舗数の表記をどうするか（公式サイト/プレスは24店舗、DBは54店登録・うち準備中4店）</t>
        </is>
      </c>
      <c r="C11" s="25" t="inlineStr">
        <is>
          <t>競合分析・プレゼンHTML等の「24店舗/12都府県」表記を一括更新できる。現状は資料間で数字が不一致のまま
Meta情報にも関連</t>
        </is>
      </c>
      <c r="D11" s="83" t="inlineStr">
        <is>
          <t>【協議中・6/12】来週「50店舗以上」のPR TIMES配信予定。表記は「全国100店舗以上」で決め打ちする案を含め1〜2週間で決定。バイク数（約360台、CycleTrip300台超え）も訴求に使う方向</t>
        </is>
      </c>
    </row>
    <row r="12" ht="60" customHeight="1" s="93">
      <c r="A12" s="25" t="n">
        <v>8</v>
      </c>
      <c r="B12" s="25" t="inlineStr">
        <is>
          <t>PAY.JPの契約プランと実際の決済手数料率（公表は3.3%。契約書か管理画面で確認）</t>
        </is>
      </c>
      <c r="C12" s="25" t="inlineStr">
        <is>
          <t>店舗の合計負担率（現在は15%+3.3%=18.3%で記載）が確定する。Stripe載せ替え時のコスト比較の前提にもなる</t>
        </is>
      </c>
      <c r="D12" s="8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2"/>
  <sheetViews>
    <sheetView zoomScale="140" zoomScaleNormal="140" workbookViewId="0">
      <selection activeCell="A1" sqref="A1"/>
    </sheetView>
  </sheetViews>
  <sheetFormatPr baseColWidth="10" defaultColWidth="8.83203125" defaultRowHeight="14"/>
  <cols>
    <col width="30" customWidth="1" style="93" min="1" max="1"/>
    <col width="95" customWidth="1" style="93" min="2" max="2"/>
    <col width="60" customWidth="1" style="93" min="3" max="3"/>
  </cols>
  <sheetData>
    <row r="1" ht="16" customHeight="1" s="93">
      <c r="A1" s="31" t="inlineStr">
        <is>
          <t>出典と検証の経緯</t>
        </is>
      </c>
    </row>
    <row r="2">
      <c r="A2" s="30" t="inlineStr">
        <is>
          <t>このブックが「収益モデル」の正本（2026-06-12にmdから完全移行）。分析日: 2026-06-11</t>
        </is>
      </c>
    </row>
    <row r="4">
      <c r="A4" s="32" t="inlineStr">
        <is>
          <t>■ データソース</t>
        </is>
      </c>
      <c r="B4" s="103" t="n"/>
    </row>
    <row r="5" ht="45" customHeight="1" s="93">
      <c r="A5" s="29" t="inlineStr">
        <is>
          <t>本番DBエクスポート</t>
        </is>
      </c>
      <c r="B5" s="25" t="inlineStr">
        <is>
          <t>source/ フォルダ（gitignore対象・コミットされない）: reserve.csv（予約121レコード全列）/ users.csv（146人: ユーザー91・加盟店54・管理者1）/ bicycle.csv（369台）/ shop.csv / access-logs.csv（13,596行）/ bike-option.csv — いずれも2026-06-11取得</t>
        </is>
      </c>
    </row>
    <row r="6" ht="15" customHeight="1" s="93">
      <c r="A6" s="29" t="inlineStr">
        <is>
          <t>Pay.jp本番スクリーンショット</t>
        </is>
      </c>
      <c r="B6" s="25" t="inlineStr">
        <is>
          <t>source/payjp/ 売り上げ一覧.png（全期間で10件のみ）・入金一覧.png（残高¥8,690・次回入金¥6,940）— 2026-06-11取得</t>
        </is>
      </c>
    </row>
    <row r="7" ht="30" customHeight="1" s="93">
      <c r="A7" s="29" t="inlineStr">
        <is>
          <t>決済フローの仕様</t>
        </is>
      </c>
      <c r="B7" s="25" t="inlineStr">
        <is>
          <t>98_presentations/pay.jp/asis.html（手数料15%・カード手数料3.3%店舗負担・ライド開始時課金・店頭決済の未請求フォールバック）</t>
        </is>
      </c>
    </row>
    <row r="8">
      <c r="B8" s="103" t="n"/>
    </row>
    <row r="9">
      <c r="A9" s="32" t="inlineStr">
        <is>
          <t>■ 検証の経緯（重要な訂正履歴）</t>
        </is>
      </c>
      <c r="B9" s="103" t="n"/>
    </row>
    <row r="10" ht="30" customHeight="1" s="93">
      <c r="A10" s="29" t="inlineStr">
        <is>
          <t>「予約の60%に手数料記録がない」→ 誤分析と判明</t>
        </is>
      </c>
      <c r="B10" s="25" t="inlineStr">
        <is>
          <t>全列エクスポートで再検証した結果、記録がない行は仮情報51・キャンセル16・来客待ち5で、完了49件の記録は100%。本当の問題は「記録はあるが店頭決済分¥76,150が未請求」（→収益の論点シート）</t>
        </is>
      </c>
    </row>
    <row r="11" ht="30" customHeight="1" s="93">
      <c r="A11" s="29" t="inlineStr">
        <is>
          <t>「15%修正が効いていない疑い」→ 晴れた</t>
        </is>
      </c>
      <c r="B11" s="25" t="inlineStr">
        <is>
          <t>5月の平均手数料/件が4月と同額だったため疑ったが、合計金額との照合で5月完了21件すべて15%と確認。平均が変わらなかったのは5月の予約単価が小さめだっただけ</t>
        </is>
      </c>
    </row>
    <row r="12" ht="30" customHeight="1" s="93">
      <c r="A12" s="29" t="inlineStr">
        <is>
          <t>「LCP 3〜5秒」→ 実測49.3秒</t>
        </is>
      </c>
      <c r="B12" s="25" t="inlineStr">
        <is>
          <t>Lighthouse実測（2026-06-11、モバイル・slow 4G）: スコア25/FCP 20.3s/LCP 49.3s/総重量9.2MB。詳細は current-issues-and-solutions.md</t>
        </is>
      </c>
    </row>
    <row r="13" ht="15" customHeight="1" s="93">
      <c r="A13" s="29" t="inlineStr">
        <is>
          <t>「店舗100」→ DBは54店</t>
        </is>
      </c>
      <c r="B13" s="25" t="inlineStr">
        <is>
          <t>口頭情報とDBが不一致 → 6/12回答: 「100」は営業ベースの見込み（実働50店+契約進行中20店）</t>
        </is>
      </c>
    </row>
    <row r="14">
      <c r="B14" s="103" t="n"/>
    </row>
    <row r="15">
      <c r="A15" s="32" t="inlineStr">
        <is>
          <t>■ 関連ドキュメント</t>
        </is>
      </c>
      <c r="B15" s="103" t="n"/>
    </row>
    <row r="16" ht="15" customHeight="1" s="93">
      <c r="A16" s="29" t="inlineStr">
        <is>
          <t>「KPIツリー」シート</t>
        </is>
      </c>
      <c r="B16" s="25" t="inlineStr">
        <is>
          <t>収益の分解ツリーと優先順位（ボトルネック=入金の見える化とセッション数）</t>
        </is>
      </c>
    </row>
    <row r="17" ht="15" customHeight="1" s="93">
      <c r="A17" s="29" t="inlineStr">
        <is>
          <t>shop-hearing-design.md</t>
        </is>
      </c>
      <c r="B17" s="25" t="inlineStr">
        <is>
          <t>ヒアリング設計（対象店舗は需給分析シートのデータで実名選定済み）</t>
        </is>
      </c>
    </row>
    <row r="18" ht="15" customHeight="1" s="93">
      <c r="A18" s="29" t="inlineStr">
        <is>
          <t>current-issues-and-solutions.md</t>
        </is>
      </c>
      <c r="B18" s="25" t="inlineStr">
        <is>
          <t>課題と対策の全体像（収益モデル・保険・ステマ規制のセクションあり）</t>
        </is>
      </c>
    </row>
    <row r="19" ht="15" customHeight="1" s="93">
      <c r="A19" s="29" t="inlineStr">
        <is>
          <t>../03_seo/seo-setup-guide.md</t>
        </is>
      </c>
      <c r="B19" s="25" t="inlineStr">
        <is>
          <t>SEO Phase 1の実施手順</t>
        </is>
      </c>
    </row>
    <row r="20">
      <c r="B20" s="103" t="n"/>
    </row>
    <row r="21">
      <c r="A21" s="32" t="inlineStr">
        <is>
          <t>■ 主な外部出典</t>
        </is>
      </c>
      <c r="B21" s="103" t="n"/>
    </row>
    <row r="22" ht="30" customHeight="1" s="93">
      <c r="A22" s="29" t="inlineStr">
        <is>
          <t>OTA手数料相場</t>
        </is>
      </c>
      <c r="B22" s="25" t="inlineStr">
        <is>
          <t>アソビュー10〜20% / KLOOK 15〜20% / じゃらん16.4%（詳細出典は action-plan.md / current-issues-and-solutions.md に記載）</t>
        </is>
      </c>
    </row>
    <row r="23" ht="30" customHeight="1" s="93">
      <c r="A23" s="29" t="inlineStr">
        <is>
          <t>物販送客の根拠</t>
        </is>
      </c>
      <c r="B23" s="25" t="inlineStr">
        <is>
          <t>Trek: レンタル料100%を購入代金に充当 https://www.trekbikes.com/us/en_US/trek-bike-rentals/ / レンティオ: レンタル経由で購入数4倍以上 https://www.rentio.co.jp/enterprise/column/renttoown</t>
        </is>
      </c>
    </row>
    <row r="24" ht="30" customHeight="1" s="93">
      <c r="A24" s="29" t="inlineStr">
        <is>
          <t>供給側崩壊の先行事例</t>
        </is>
      </c>
      <c r="B24" s="25" t="inlineStr">
        <is>
          <t>Anyca（2024年終了・手数料15〜35%で供給離反） https://www.watch.impress.co.jp/docs/news/1631359.html / Spinlister（2018年終了）</t>
        </is>
      </c>
    </row>
    <row r="26">
      <c r="A26" s="32" t="inlineStr">
        <is>
          <t>■ 主要数値の出典対応表（この数字どこから？）</t>
        </is>
      </c>
    </row>
    <row r="27">
      <c r="A27" s="28" t="inlineStr">
        <is>
          <t>数値</t>
        </is>
      </c>
      <c r="B27" s="28" t="inlineStr">
        <is>
          <t>値</t>
        </is>
      </c>
      <c r="C27" s="28" t="inlineStr">
        <is>
          <t>出典・確認方法</t>
        </is>
      </c>
    </row>
    <row r="28" ht="30" customHeight="1" s="93">
      <c r="A28" s="25" t="inlineStr">
        <is>
          <t>手数料率</t>
        </is>
      </c>
      <c r="B28" s="25" t="inlineStr">
        <is>
          <t>15%</t>
        </is>
      </c>
      <c r="C28" s="25" t="inlineStr">
        <is>
          <t>クライアント確認（2026-05切替）+ reserve.csv で5月完了21件全件「合計金額×15%=手数料」を照合して裏取り</t>
        </is>
      </c>
    </row>
    <row r="29" ht="15" customHeight="1" s="93">
      <c r="A29" s="25" t="inlineStr">
        <is>
          <t>カード手数料3.3%は店舗負担</t>
        </is>
      </c>
      <c r="B29" s="25" t="inlineStr">
        <is>
          <t>—</t>
        </is>
      </c>
      <c r="C29" s="25" t="inlineStr">
        <is>
          <t>PAY.JP公表のスタンダード料率 https://pay.jp/plan （2026年6月時点・2026-09-14再確認）。旧値「約3.5%」からの訂正は本シート下部の訂正履歴を参照</t>
        </is>
      </c>
    </row>
    <row r="30" ht="15" customHeight="1" s="93">
      <c r="A30" s="25" t="inlineStr">
        <is>
          <t>登録店舗数</t>
        </is>
      </c>
      <c r="B30" s="25" t="inlineStr">
        <is>
          <t>54店</t>
        </is>
      </c>
      <c r="C30" s="25" t="inlineStr">
        <is>
          <t>users.csv の Right=加盟店 を集計（アーカイブ2店含む）</t>
        </is>
      </c>
    </row>
    <row r="31" ht="15" customHeight="1" s="93">
      <c r="A31" s="25" t="inlineStr">
        <is>
          <t>登録利用者数</t>
        </is>
      </c>
      <c r="B31" s="25" t="inlineStr">
        <is>
          <t>91人</t>
        </is>
      </c>
      <c r="C31" s="25" t="inlineStr">
        <is>
          <t>users.csv の Right=ユーザー を集計</t>
        </is>
      </c>
    </row>
    <row r="32" ht="30" customHeight="1" s="93">
      <c r="A32" s="25" t="inlineStr">
        <is>
          <t>実予約70件 / 完了49 / キャンセル16</t>
        </is>
      </c>
      <c r="B32" s="25" t="inlineStr">
        <is>
          <t>—</t>
        </is>
      </c>
      <c r="C32" s="25" t="inlineStr">
        <is>
          <t>reserve.csv のステータス列+予約番号の有無で集計（仮情報51件は除外）</t>
        </is>
      </c>
    </row>
    <row r="33" ht="15" customHeight="1" s="93">
      <c r="A33" s="25" t="inlineStr">
        <is>
          <t>月別の完了予約数・手数料収入</t>
        </is>
      </c>
      <c r="B33" s="25" t="inlineStr">
        <is>
          <t>月別実績シート</t>
        </is>
      </c>
      <c r="C33" s="25" t="inlineStr">
        <is>
          <t>reserve.csv の返却日×手数料デフォルト列を月別集計</t>
        </is>
      </c>
    </row>
    <row r="34" ht="15" customHeight="1" s="93">
      <c r="A34" s="25" t="inlineStr">
        <is>
          <t>RINCLEの実入金</t>
        </is>
      </c>
      <c r="B34" s="25" t="inlineStr">
        <is>
          <t>¥8,690（Pay.jp=クレカ分のみ）</t>
        </is>
      </c>
      <c r="C34" s="25" t="inlineStr">
        <is>
          <t>Pay.jp本番管理画面のスクショ（source/payjp/入金一覧.png）</t>
        </is>
      </c>
    </row>
    <row r="35" ht="30" customHeight="1" s="93">
      <c r="A35" s="25" t="inlineStr">
        <is>
          <t>店頭決済の手数料（DB上は未請求表示）</t>
        </is>
      </c>
      <c r="B35" s="25" t="inlineStr">
        <is>
          <t>¥76,150</t>
        </is>
      </c>
      <c r="C35" s="25" t="inlineStr">
        <is>
          <t>reserve.csv の支払い方法=店頭決済 43件の手数料合計。DB上は全件「請求済み=いいえ」+ 手数料月ごとテーブル未使用だが、実際は紙請求で回収済み（6/12回答）</t>
        </is>
      </c>
    </row>
    <row r="36" ht="15" customHeight="1" s="93">
      <c r="A36" s="25" t="inlineStr">
        <is>
          <t>平均予約単価</t>
        </is>
      </c>
      <c r="B36" s="25" t="inlineStr">
        <is>
          <t>約¥10,200</t>
        </is>
      </c>
      <c r="C36" s="25" t="inlineStr">
        <is>
          <t>5月実測の手数料平均¥1,532 ÷ 15% で逆算</t>
        </is>
      </c>
    </row>
    <row r="37" ht="30" customHeight="1" s="93">
      <c r="A37" s="25" t="inlineStr">
        <is>
          <t>自転車369台 / E-Bike79台 / 非表示125台</t>
        </is>
      </c>
      <c r="B37" s="25" t="inlineStr">
        <is>
          <t>—</t>
        </is>
      </c>
      <c r="C37" s="25" t="inlineStr">
        <is>
          <t>bicycle.csv（カテゴリ・ebike・貸出ステータス列を集計）</t>
        </is>
      </c>
    </row>
    <row r="38" ht="15" customHeight="1" s="93">
      <c r="A38" s="25" t="inlineStr">
        <is>
          <t>月間アクセス 約700IP / 2,300PV</t>
        </is>
      </c>
      <c r="B38" s="25" t="inlineStr">
        <is>
          <t>2026-05</t>
        </is>
      </c>
      <c r="C38" s="25" t="inlineStr">
        <is>
          <t>access-logs.csv（13,596行）を月別集計。IP=ユニークIPアドレス数</t>
        </is>
      </c>
    </row>
    <row r="39" ht="15" customHeight="1" s="93">
      <c r="A39" s="25" t="inlineStr">
        <is>
          <t>粗いCVR 約4%</t>
        </is>
      </c>
      <c r="B39" s="25" t="inlineStr">
        <is>
          <t>参考値</t>
        </is>
      </c>
      <c r="C39" s="25" t="inlineStr">
        <is>
          <t>5月の実予約28件 ÷ 5月ユニークIP約700。IP≠人なので目安</t>
        </is>
      </c>
    </row>
    <row r="40" ht="15" customHeight="1" s="93">
      <c r="A40" s="25" t="inlineStr">
        <is>
          <t>Bubble Growthプラン 約¥18,000/月</t>
        </is>
      </c>
      <c r="B40" s="25" t="inlineStr">
        <is>
          <t>仮（要確認）</t>
        </is>
      </c>
      <c r="C40" s="25" t="inlineStr">
        <is>
          <t>Bubble公式料金 $119/月（年契約）× 約150円/$ で換算</t>
        </is>
      </c>
    </row>
    <row r="41" ht="15" customHeight="1" s="93">
      <c r="A41" s="25" t="inlineStr">
        <is>
          <t>損益分岐の必要件数</t>
        </is>
      </c>
      <c r="B41" s="25" t="inlineStr">
        <is>
          <t>計算値</t>
        </is>
      </c>
      <c r="C41" s="25" t="inlineStr">
        <is>
          <t>試算モデルシートの数式: 月間固定費 ÷（単価×手数料率×徴収率）</t>
        </is>
      </c>
    </row>
    <row r="42" ht="15" customHeight="1" s="93">
      <c r="A42" s="25" t="inlineStr">
        <is>
          <t>OTA手数料相場 10〜20%</t>
        </is>
      </c>
      <c r="B42" s="25" t="inlineStr">
        <is>
          <t>外部調査</t>
        </is>
      </c>
      <c r="C42" s="25" t="inlineStr">
        <is>
          <t>2026-06の深掘り調査（出典URLは action-plan.md に記載）</t>
        </is>
      </c>
    </row>
    <row r="43">
      <c r="A43" t="inlineStr">
        <is>
          <t>開発委託費 約100万円/月</t>
        </is>
      </c>
      <c r="B43" t="inlineStr">
        <is>
          <t>概算</t>
        </is>
      </c>
      <c r="C43" t="inlineStr">
        <is>
          <t>準委任契約の月間稼働額（瀬野さんヒアリング・2026-06-12）。運営損益からは投資扱いで除外、コスト棚卸しの参考行で管理</t>
        </is>
      </c>
    </row>
    <row r="44">
      <c r="A44" s="32" t="inlineStr">
        <is>
          <t>■ 今後の調査余地（手元データで追加分析できること）</t>
        </is>
      </c>
    </row>
    <row r="45" ht="30" customHeight="1" s="93">
      <c r="A45" s="29" t="inlineStr">
        <is>
          <t>予約フローの離脱率</t>
        </is>
      </c>
      <c r="B45" s="25" t="inlineStr">
        <is>
          <t>仮情報51件と実予約70件を自転車予約詳細IDで突合すれば、「予約を始めたが確定しなかった割合」が出せる（CVR改善の優先判断に使える）</t>
        </is>
      </c>
    </row>
    <row r="46" ht="15" customHeight="1" s="93">
      <c r="A46" s="29" t="inlineStr">
        <is>
          <t>リピート率</t>
        </is>
      </c>
      <c r="B46" s="25" t="inlineStr">
        <is>
          <t>乗車人情報テーブルのエクスポートが届けば計測可能（確認リスト#5）</t>
        </is>
      </c>
    </row>
    <row r="47" ht="30" customHeight="1" s="93">
      <c r="A47" s="29" t="inlineStr">
        <is>
          <t>DBバグの引き継ぎ</t>
        </is>
      </c>
      <c r="B47" s="25" t="inlineStr">
        <is>
          <t>実態サマリーの「データ異常」4件（予約番号重複・¥12,001・空行・延長手数料）は、DB再構築プロジェクトのバグリスト（2_requirements）へ転記すること</t>
        </is>
      </c>
    </row>
    <row r="49">
      <c r="A49" s="84" t="inlineStr">
        <is>
          <t>■ 2026-06-12定例での判明事項（議事録: 1_meeting_minutes/6.12.txt）</t>
        </is>
      </c>
    </row>
    <row r="50" ht="30" customHeight="1" s="93">
      <c r="A50" s="85" t="inlineStr">
        <is>
          <t>店頭決済の回収</t>
        </is>
      </c>
      <c r="B50" s="106" t="inlineStr">
        <is>
          <t>紙の請求書でシステム外回収できていた（15%で請求していたと思われる・増永さんの運用認識）。「未回収¥76,150」という当初分析はPay.jp/DBだけを見た結論で、実態は回収済み</t>
        </is>
      </c>
    </row>
    <row r="51" ht="15" customHeight="1" s="93">
      <c r="A51" s="85" t="inlineStr">
        <is>
          <t>2月のアクセススパイク</t>
        </is>
      </c>
      <c r="B51" s="106" t="inlineStr">
        <is>
          <t>PR TIMES初配信が原因と判明（メディア掲載が連鎖）。再現可能な施策。来週「50店舗突破」リリース配信予定</t>
        </is>
      </c>
    </row>
    <row r="52" ht="15" customHeight="1" s="93">
      <c r="A52" s="85" t="inlineStr">
        <is>
          <t>店舗数の実態</t>
        </is>
      </c>
      <c r="B52" s="106" t="inlineStr">
        <is>
          <t>実働50店+契約進行中20店+営業済み120〜130店。「100店舗」は営業ベースの見込み（数ヶ月で到達想定）</t>
        </is>
      </c>
    </row>
    <row r="53" ht="15" customHeight="1" s="93">
      <c r="A53" s="85" t="inlineStr">
        <is>
          <t>キャンセルの理由</t>
        </is>
      </c>
      <c r="B53" s="106" t="inlineStr">
        <is>
          <t>天候+日程変更（別日再予約）が大半。ポリシー強化の方向で一致（雨以外は課金・50円オーソリ案）</t>
        </is>
      </c>
    </row>
    <row r="54" ht="15" customHeight="1" s="93">
      <c r="A54" s="85" t="inlineStr">
        <is>
          <t>固定費</t>
        </is>
      </c>
      <c r="B54" s="106" t="inlineStr">
        <is>
          <t>運営は現在無給。システム費+開発委託以外ほぼゼロ</t>
        </is>
      </c>
    </row>
    <row r="55" ht="30" customHeight="1" s="93">
      <c r="A55" s="85" t="inlineStr">
        <is>
          <t>ペルソナの答え合わせ</t>
        </is>
      </c>
      <c r="B55" s="106" t="inlineStr">
        <is>
          <t>来店者の約半分は「初めてロードバイク体験・購入検討」層=ペルソナA/Cが想定通り実在。+2割「イベント参加で自転車が無い」層（新ペルソナ候補）。検索語は「ロードバイク レンタル 地域名」が主流で「スポーツバイク」では誰も調べない</t>
        </is>
      </c>
    </row>
    <row r="56" ht="15" customHeight="1" s="93">
      <c r="A56" s="85" t="inlineStr">
        <is>
          <t>競合情報</t>
        </is>
      </c>
      <c r="B56" s="106" t="inlineStr">
        <is>
          <t>CycleTripが来年、同様のプラットフォームシステムを開発中らしい → 先行逃げ切り方針で一致</t>
        </is>
      </c>
    </row>
    <row r="57" ht="30" customHeight="1" s="93">
      <c r="A57" s="90" t="inlineStr">
        <is>
          <t>シート同期（2026-06-12）</t>
        </is>
      </c>
      <c r="B57" s="103" t="inlineStr">
        <is>
          <t>上記の判明事項を全シートの記述に反映: 「未回収¥76,150」→「紙請求で回収済み・累計額は要突合」に統一 / キャンセル理由・2月スパイク・固定費・店舗数の回答を各シートへ / 確認リストの説明を6問→7問に修正</t>
        </is>
      </c>
    </row>
    <row r="58">
      <c r="A58" s="90" t="inlineStr">
        <is>
          <t>KGI/KPI目標の凍結（2026-06-12）</t>
        </is>
      </c>
      <c r="B58" s="103" t="inlineStr">
        <is>
          <t>目標数字の合意は一旦見送り（瀬野さん判断）。理由: 最初に決め切らず、ユーザー増・差別化ポイント実装・UI/UX改善が進んだ段階で実績ベースで設定する。月次の実績記録（月別実績・KPI進捗の実績列）は継続。KPI計画シートは参考として保持</t>
        </is>
      </c>
    </row>
    <row r="59">
      <c r="A59" s="90" t="inlineStr">
        <is>
          <t>突合タスクの中止（2026-06-12）</t>
        </is>
      </c>
      <c r="B59" s="103" t="inlineStr">
        <is>
          <t>紙請求の累計額×DB記録の突合は不要と判断（瀬野さん）。理由: 請求は紙で適切に実施できており（15%で請求していたと思われる・未検証）、検証より見える化（カード1本化）を優先。タスクリストからも#29を削除</t>
        </is>
      </c>
    </row>
    <row r="61">
      <c r="A61" s="84" t="inlineStr">
        <is>
          <t>■ 訂正履歴（2026-09-14）</t>
        </is>
      </c>
    </row>
    <row r="62">
      <c r="A62" s="85" t="inlineStr">
        <is>
          <t>2026-09-14 カード手数料</t>
        </is>
      </c>
      <c r="B62" s="106" t="inlineStr">
        <is>
          <t>旧「約3.5%（As-Isフロー資料の概算）」→ 新「3.3%（PAY.JP公表スタンダード料率・2026年6月時点）」。旧値は消さず履歴として残す。連動して 店舗負担計 18.5%→18.3% / 1万円決済の例 約350円→330円 / 店舗の手取り 8,150円→8,170円 を修正</t>
        </is>
      </c>
      <c r="C62" s="25" t="inlineStr">
        <is>
          <t>理由: 「約3.5%」は payjp-flow-asis.md が1万円決済を「約350円」と書いた概算が起点で、HTML経由で本ブックへ出典として伝わった数字。PAY.JP公表料金はスタンダード3.3%・ビジネス2.78%・エンタープライズ2.59%/2.7%で、Platform（テナント型）も同じ料率表。3.5%は現行の公表料金に無い（3.5%はPayPay物販の料率）。3.3%は2026年6月に payjp-vs-stripe-comparison.md §2 が公式料金を再調査して採った値。根拠: https://pay.jp/plan （2026-09-14確認）。契約上の実料率は要確認（確認リスト#8）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2026-06-11T03:55:38Z</dcterms:created>
  <dcterms:modified xsi:type="dcterms:W3CDTF">2026-09-14T05:06:46Z</dcterms:modified>
  <cp:lastModifiedBy>清野 奨稀</cp:lastModifiedBy>
</cp:coreProperties>
</file>