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hoki.seino/Downloads/"/>
    </mc:Choice>
  </mc:AlternateContent>
  <xr:revisionPtr revIDLastSave="0" documentId="13_ncr:1_{95B0DED8-548A-454C-ACF0-62ABF92B19FE}" xr6:coauthVersionLast="47" xr6:coauthVersionMax="47" xr10:uidLastSave="{00000000-0000-0000-0000-000000000000}"/>
  <bookViews>
    <workbookView xWindow="0" yWindow="600" windowWidth="30080" windowHeight="33240" xr2:uid="{00000000-000D-0000-FFFF-FFFF00000000}"/>
  </bookViews>
  <sheets>
    <sheet name="補助対象経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6" i="1"/>
  <c r="E7" i="1"/>
  <c r="E8" i="1"/>
  <c r="E10" i="1"/>
  <c r="E11" i="1"/>
  <c r="E12" i="1"/>
  <c r="E5" i="1"/>
  <c r="E13" i="1" l="1"/>
</calcChain>
</file>

<file path=xl/sharedStrings.xml><?xml version="1.0" encoding="utf-8"?>
<sst xmlns="http://schemas.openxmlformats.org/spreadsheetml/2006/main" count="32" uniqueCount="25">
  <si>
    <t>補助対象経費名</t>
  </si>
  <si>
    <t>金額（税抜）</t>
  </si>
  <si>
    <t>開発内容</t>
  </si>
  <si>
    <t>AIコンシェルジュ・チャットボット機能開発</t>
  </si>
  <si>
    <t>AIによる自転車選び、利用方法案内、FAQ対応、店舗案内、多言語での問い合わせ対応を実現し、24時間ユーザーサポートを行う。</t>
  </si>
  <si>
    <t>AIレコメンド・検索最適化機能開発</t>
  </si>
  <si>
    <t>利用目的・レベル・地域・過去の利用履歴をもとに最適な店舗・自転車・サイクリングコースを提案。検索精度および予約完了率を向上させる。</t>
  </si>
  <si>
    <t>加盟店ダッシュボード開発</t>
  </si>
  <si>
    <t>予約件数、売上、稼働率、顧客属性、人気車種などをリアルタイムで可視化し、加盟店の経営改善・販売促進を支援する。</t>
  </si>
  <si>
    <t>CRM・マーケティング自動化機能開発</t>
  </si>
  <si>
    <t>LINE・メール配信、リピーター向け販促、クーポン配信、利用履歴管理などを自動化し、継続利用を促進する。</t>
  </si>
  <si>
    <t>決済・会員管理システム高度化</t>
  </si>
  <si>
    <t>Stripe決済連携、会員情報管理、本人確認、予約情報管理、決済情報管理などを強化し、安全性・利便性を向上させる。</t>
  </si>
  <si>
    <t>多言語対応システム開発</t>
  </si>
  <si>
    <t>日本語・英語・中国語・韓国語に対応し、訪日外国人でもスムーズに予約・利用できる環境を整備する。</t>
  </si>
  <si>
    <t>予約・在庫管理システム高度化</t>
  </si>
  <si>
    <t>リアルタイム在庫管理、貸出・返却管理、予約カレンダー最適化、キャンセル待ち機能などを実装し、加盟店の運営効率を向上させる。</t>
  </si>
  <si>
    <t>モバイル画面の最適化、予約導線の改善、操作性向上、ページ表示速度改善などを実施し、ユーザー体験を向上させる。</t>
  </si>
  <si>
    <t>合計</t>
  </si>
  <si>
    <t>RINCLE 次世代プラットフォームシステムの構築</t>
    <phoneticPr fontId="3"/>
  </si>
  <si>
    <t>数量</t>
    <rPh sb="0" eb="2">
      <t>スウ</t>
    </rPh>
    <phoneticPr fontId="3"/>
  </si>
  <si>
    <t>単価</t>
    <rPh sb="0" eb="2">
      <t>タンカ</t>
    </rPh>
    <phoneticPr fontId="3"/>
  </si>
  <si>
    <t>スマートフォンUI / UX改善</t>
    <phoneticPr fontId="3"/>
  </si>
  <si>
    <t>単位</t>
    <rPh sb="0" eb="2">
      <t>タンイ</t>
    </rPh>
    <phoneticPr fontId="3"/>
  </si>
  <si>
    <t>人月</t>
    <rPh sb="0" eb="2">
      <t>ニンゲテゥ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</si>
</sst>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6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6" fontId="0" fillId="0" borderId="0" xfId="1" applyFont="1" applyAlignment="1"/>
    <xf numFmtId="6" fontId="0" fillId="0" borderId="0" xfId="0" applyNumberFormat="1"/>
    <xf numFmtId="6" fontId="1" fillId="0" borderId="0" xfId="0" applyNumberFormat="1" applyFont="1"/>
  </cellXfs>
  <cellStyles count="2">
    <cellStyle name="通貨" xfId="1" builtinId="7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3"/>
  <sheetViews>
    <sheetView tabSelected="1" zoomScale="120" zoomScaleNormal="120" workbookViewId="0"/>
  </sheetViews>
  <sheetFormatPr baseColWidth="10" defaultColWidth="8.83203125" defaultRowHeight="14"/>
  <cols>
    <col min="1" max="1" width="40" customWidth="1"/>
    <col min="2" max="4" width="10.83203125" customWidth="1"/>
    <col min="5" max="5" width="14.83203125" customWidth="1"/>
    <col min="6" max="6" width="121.1640625" bestFit="1" customWidth="1"/>
  </cols>
  <sheetData>
    <row r="2" spans="1:6">
      <c r="A2" t="s">
        <v>19</v>
      </c>
    </row>
    <row r="4" spans="1:6">
      <c r="A4" s="1" t="s">
        <v>0</v>
      </c>
      <c r="B4" s="1" t="s">
        <v>21</v>
      </c>
      <c r="C4" s="1" t="s">
        <v>20</v>
      </c>
      <c r="D4" s="1" t="s">
        <v>23</v>
      </c>
      <c r="E4" s="1" t="s">
        <v>1</v>
      </c>
      <c r="F4" s="1" t="s">
        <v>2</v>
      </c>
    </row>
    <row r="5" spans="1:6">
      <c r="A5" t="s">
        <v>3</v>
      </c>
      <c r="B5" s="2">
        <v>1300000</v>
      </c>
      <c r="C5">
        <v>1</v>
      </c>
      <c r="D5" t="s">
        <v>24</v>
      </c>
      <c r="E5" s="3">
        <f>B5*C5</f>
        <v>1300000</v>
      </c>
      <c r="F5" t="s">
        <v>4</v>
      </c>
    </row>
    <row r="6" spans="1:6">
      <c r="A6" t="s">
        <v>5</v>
      </c>
      <c r="B6" s="2">
        <v>1300000</v>
      </c>
      <c r="C6">
        <v>0.75</v>
      </c>
      <c r="D6" t="s">
        <v>24</v>
      </c>
      <c r="E6" s="3">
        <f>B6*C6</f>
        <v>975000</v>
      </c>
      <c r="F6" t="s">
        <v>6</v>
      </c>
    </row>
    <row r="7" spans="1:6">
      <c r="A7" t="s">
        <v>7</v>
      </c>
      <c r="B7" s="2">
        <v>1300000</v>
      </c>
      <c r="C7">
        <v>0.8</v>
      </c>
      <c r="D7" t="s">
        <v>24</v>
      </c>
      <c r="E7" s="3">
        <f>B7*C7</f>
        <v>1040000</v>
      </c>
      <c r="F7" t="s">
        <v>8</v>
      </c>
    </row>
    <row r="8" spans="1:6">
      <c r="A8" t="s">
        <v>9</v>
      </c>
      <c r="B8" s="2">
        <v>1300000</v>
      </c>
      <c r="C8">
        <v>0.6</v>
      </c>
      <c r="D8" t="s">
        <v>24</v>
      </c>
      <c r="E8" s="3">
        <f>B8*C8</f>
        <v>780000</v>
      </c>
      <c r="F8" t="s">
        <v>10</v>
      </c>
    </row>
    <row r="9" spans="1:6">
      <c r="A9" t="s">
        <v>11</v>
      </c>
      <c r="B9" s="2">
        <v>1300000</v>
      </c>
      <c r="C9">
        <v>0.65</v>
      </c>
      <c r="D9" t="s">
        <v>24</v>
      </c>
      <c r="E9" s="3">
        <f>B9*C9</f>
        <v>845000</v>
      </c>
      <c r="F9" t="s">
        <v>12</v>
      </c>
    </row>
    <row r="10" spans="1:6">
      <c r="A10" t="s">
        <v>13</v>
      </c>
      <c r="B10" s="2">
        <v>1300000</v>
      </c>
      <c r="C10">
        <v>0.5</v>
      </c>
      <c r="D10" t="s">
        <v>24</v>
      </c>
      <c r="E10" s="3">
        <f>B10*C10</f>
        <v>650000</v>
      </c>
      <c r="F10" t="s">
        <v>14</v>
      </c>
    </row>
    <row r="11" spans="1:6">
      <c r="A11" t="s">
        <v>15</v>
      </c>
      <c r="B11" s="2">
        <v>1300000</v>
      </c>
      <c r="C11">
        <v>0.5</v>
      </c>
      <c r="D11" t="s">
        <v>24</v>
      </c>
      <c r="E11" s="3">
        <f>B11*C11</f>
        <v>650000</v>
      </c>
      <c r="F11" t="s">
        <v>16</v>
      </c>
    </row>
    <row r="12" spans="1:6">
      <c r="A12" t="s">
        <v>22</v>
      </c>
      <c r="B12" s="2">
        <v>1300000</v>
      </c>
      <c r="C12">
        <v>0.65</v>
      </c>
      <c r="D12" t="s">
        <v>24</v>
      </c>
      <c r="E12" s="3">
        <f>B12*C12</f>
        <v>845000</v>
      </c>
      <c r="F12" t="s">
        <v>17</v>
      </c>
    </row>
    <row r="13" spans="1:6">
      <c r="A13" s="1" t="s">
        <v>18</v>
      </c>
      <c r="B13" s="1"/>
      <c r="C13" s="1"/>
      <c r="E13" s="4">
        <f>SUM(E5:E12)</f>
        <v>7085000</v>
      </c>
    </row>
  </sheetData>
  <phoneticPr fontId="3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補助対象経費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清野 奨稀</cp:lastModifiedBy>
  <dcterms:created xsi:type="dcterms:W3CDTF">2026-06-30T14:02:52Z</dcterms:created>
  <dcterms:modified xsi:type="dcterms:W3CDTF">2026-07-06T10:03:43Z</dcterms:modified>
</cp:coreProperties>
</file>